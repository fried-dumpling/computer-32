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taeh5\Homemade Computer\computer 32 (new)\digital computer 32\"/>
    </mc:Choice>
  </mc:AlternateContent>
  <xr:revisionPtr revIDLastSave="0" documentId="13_ncr:1_{6A77CC6D-249D-47F7-835D-0D6500569CB2}" xr6:coauthVersionLast="47" xr6:coauthVersionMax="47" xr10:uidLastSave="{00000000-0000-0000-0000-000000000000}"/>
  <bookViews>
    <workbookView xWindow="0" yWindow="360" windowWidth="38640" windowHeight="15720" xr2:uid="{8114D55D-0332-45B3-9181-1200CCB278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7" i="1" l="1"/>
  <c r="C66" i="1"/>
  <c r="C65" i="1"/>
  <c r="C64" i="1"/>
  <c r="D63" i="1"/>
  <c r="M47" i="1"/>
  <c r="M44" i="1"/>
  <c r="M45" i="1" s="1"/>
  <c r="M46" i="1" s="1"/>
  <c r="L65" i="1"/>
  <c r="L66" i="1" s="1"/>
  <c r="L67" i="1" s="1"/>
  <c r="N64" i="1" s="1"/>
  <c r="N65" i="1" s="1"/>
  <c r="N66" i="1" s="1"/>
  <c r="N67" i="1" s="1"/>
  <c r="M51" i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N11" i="1"/>
  <c r="M12" i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D12" i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N17" i="1" l="1"/>
  <c r="N29" i="1"/>
  <c r="N18" i="1"/>
  <c r="N30" i="1"/>
  <c r="N20" i="1"/>
  <c r="N28" i="1"/>
  <c r="N19" i="1"/>
  <c r="N31" i="1"/>
  <c r="N32" i="1"/>
  <c r="N21" i="1"/>
  <c r="N33" i="1"/>
  <c r="N34" i="1"/>
  <c r="N23" i="1"/>
  <c r="N35" i="1"/>
  <c r="N22" i="1"/>
  <c r="N24" i="1"/>
  <c r="N25" i="1"/>
  <c r="N26" i="1"/>
  <c r="N27" i="1"/>
  <c r="N13" i="1"/>
  <c r="N14" i="1"/>
  <c r="N16" i="1"/>
  <c r="N15" i="1"/>
  <c r="N12" i="1"/>
  <c r="D29" i="1"/>
  <c r="D30" i="1" s="1"/>
  <c r="D31" i="1" s="1"/>
  <c r="D32" i="1" s="1"/>
  <c r="D33" i="1" s="1"/>
  <c r="D34" i="1" s="1"/>
  <c r="D35" i="1" s="1"/>
  <c r="D36" i="1" s="1"/>
  <c r="D37" i="1" l="1"/>
  <c r="D38" i="1" s="1"/>
  <c r="D39" i="1" l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l="1"/>
  <c r="D52" i="1" s="1"/>
  <c r="D53" i="1" s="1"/>
  <c r="D54" i="1" s="1"/>
  <c r="D55" i="1" s="1"/>
  <c r="D56" i="1" s="1"/>
  <c r="D57" i="1" s="1"/>
  <c r="D58" i="1" s="1"/>
  <c r="D59" i="1" l="1"/>
  <c r="D60" i="1" s="1"/>
  <c r="D61" i="1" s="1"/>
  <c r="D62" i="1" s="1"/>
</calcChain>
</file>

<file path=xl/sharedStrings.xml><?xml version="1.0" encoding="utf-8"?>
<sst xmlns="http://schemas.openxmlformats.org/spreadsheetml/2006/main" count="392" uniqueCount="211">
  <si>
    <t>opcode</t>
    <phoneticPr fontId="1" type="noConversion"/>
  </si>
  <si>
    <t>gen</t>
    <phoneticPr fontId="1" type="noConversion"/>
  </si>
  <si>
    <t>pc</t>
    <phoneticPr fontId="1" type="noConversion"/>
  </si>
  <si>
    <t>stack</t>
    <phoneticPr fontId="1" type="noConversion"/>
  </si>
  <si>
    <t>base</t>
    <phoneticPr fontId="1" type="noConversion"/>
  </si>
  <si>
    <t>flag</t>
    <phoneticPr fontId="1" type="noConversion"/>
  </si>
  <si>
    <t>zero</t>
    <phoneticPr fontId="1" type="noConversion"/>
  </si>
  <si>
    <t>neg</t>
    <phoneticPr fontId="1" type="noConversion"/>
  </si>
  <si>
    <t>pos</t>
    <phoneticPr fontId="1" type="noConversion"/>
  </si>
  <si>
    <t>mov</t>
    <phoneticPr fontId="1" type="noConversion"/>
  </si>
  <si>
    <t>set</t>
    <phoneticPr fontId="1" type="noConversion"/>
  </si>
  <si>
    <t>dest</t>
    <phoneticPr fontId="1" type="noConversion"/>
  </si>
  <si>
    <t>src</t>
    <phoneticPr fontId="1" type="noConversion"/>
  </si>
  <si>
    <t>add</t>
    <phoneticPr fontId="1" type="noConversion"/>
  </si>
  <si>
    <t>addc</t>
    <phoneticPr fontId="1" type="noConversion"/>
  </si>
  <si>
    <t>addi</t>
    <phoneticPr fontId="1" type="noConversion"/>
  </si>
  <si>
    <t>sub</t>
    <phoneticPr fontId="1" type="noConversion"/>
  </si>
  <si>
    <t>subc</t>
    <phoneticPr fontId="1" type="noConversion"/>
  </si>
  <si>
    <t>subi</t>
    <phoneticPr fontId="1" type="noConversion"/>
  </si>
  <si>
    <t>one</t>
    <phoneticPr fontId="1" type="noConversion"/>
  </si>
  <si>
    <t>full</t>
    <phoneticPr fontId="1" type="noConversion"/>
  </si>
  <si>
    <t>bor</t>
    <phoneticPr fontId="1" type="noConversion"/>
  </si>
  <si>
    <t>bnd</t>
    <phoneticPr fontId="1" type="noConversion"/>
  </si>
  <si>
    <t>bxr</t>
    <phoneticPr fontId="1" type="noConversion"/>
  </si>
  <si>
    <t>push</t>
    <phoneticPr fontId="1" type="noConversion"/>
  </si>
  <si>
    <t>pop</t>
    <phoneticPr fontId="1" type="noConversion"/>
  </si>
  <si>
    <t>00</t>
    <phoneticPr fontId="1" type="noConversion"/>
  </si>
  <si>
    <t>32</t>
    <phoneticPr fontId="1" type="noConversion"/>
  </si>
  <si>
    <t>16L</t>
    <phoneticPr fontId="1" type="noConversion"/>
  </si>
  <si>
    <t/>
  </si>
  <si>
    <t>8L</t>
    <phoneticPr fontId="1" type="noConversion"/>
  </si>
  <si>
    <t>8H</t>
    <phoneticPr fontId="1" type="noConversion"/>
  </si>
  <si>
    <t>bori</t>
    <phoneticPr fontId="1" type="noConversion"/>
  </si>
  <si>
    <t>imm(0~65535)</t>
    <phoneticPr fontId="1" type="noConversion"/>
  </si>
  <si>
    <t>bndi</t>
    <phoneticPr fontId="1" type="noConversion"/>
  </si>
  <si>
    <t>bxri</t>
    <phoneticPr fontId="1" type="noConversion"/>
  </si>
  <si>
    <t>off(-32768~32767)</t>
    <phoneticPr fontId="1" type="noConversion"/>
  </si>
  <si>
    <t>halt</t>
    <phoneticPr fontId="1" type="noConversion"/>
  </si>
  <si>
    <t>mmu</t>
    <phoneticPr fontId="1" type="noConversion"/>
  </si>
  <si>
    <t>id</t>
    <phoneticPr fontId="1" type="noConversion"/>
  </si>
  <si>
    <t>byte 1</t>
    <phoneticPr fontId="1" type="noConversion"/>
  </si>
  <si>
    <t>byte 3</t>
    <phoneticPr fontId="1" type="noConversion"/>
  </si>
  <si>
    <t>byte 2</t>
    <phoneticPr fontId="1" type="noConversion"/>
  </si>
  <si>
    <t>description</t>
    <phoneticPr fontId="1" type="noConversion"/>
  </si>
  <si>
    <t>instruction set</t>
    <phoneticPr fontId="1" type="noConversion"/>
  </si>
  <si>
    <t>ALU</t>
    <phoneticPr fontId="1" type="noConversion"/>
  </si>
  <si>
    <t>type</t>
    <phoneticPr fontId="1" type="noConversion"/>
  </si>
  <si>
    <t>reg</t>
    <phoneticPr fontId="1" type="noConversion"/>
  </si>
  <si>
    <t>call</t>
    <phoneticPr fontId="1" type="noConversion"/>
  </si>
  <si>
    <t>ret</t>
    <phoneticPr fontId="1" type="noConversion"/>
  </si>
  <si>
    <t>int</t>
    <phoneticPr fontId="1" type="noConversion"/>
  </si>
  <si>
    <t>ram</t>
    <phoneticPr fontId="1" type="noConversion"/>
  </si>
  <si>
    <t>flow</t>
    <phoneticPr fontId="1" type="noConversion"/>
  </si>
  <si>
    <t>dest = src</t>
    <phoneticPr fontId="1" type="noConversion"/>
  </si>
  <si>
    <t>dest = imm</t>
    <phoneticPr fontId="1" type="noConversion"/>
  </si>
  <si>
    <t>dest += src</t>
    <phoneticPr fontId="1" type="noConversion"/>
  </si>
  <si>
    <t>dest += src + flag[carry]</t>
    <phoneticPr fontId="1" type="noConversion"/>
  </si>
  <si>
    <t>dest += imm</t>
    <phoneticPr fontId="1" type="noConversion"/>
  </si>
  <si>
    <t>dest -= src</t>
    <phoneticPr fontId="1" type="noConversion"/>
  </si>
  <si>
    <t>dest -= src - flag[carry]</t>
    <phoneticPr fontId="1" type="noConversion"/>
  </si>
  <si>
    <t>dest -= imm</t>
    <phoneticPr fontId="1" type="noConversion"/>
  </si>
  <si>
    <t>dest = dest &lt;&lt; src</t>
    <phoneticPr fontId="1" type="noConversion"/>
  </si>
  <si>
    <t>dest = dest &lt;&lt; imm</t>
    <phoneticPr fontId="1" type="noConversion"/>
  </si>
  <si>
    <t>dest = dest &gt;&gt; src</t>
    <phoneticPr fontId="1" type="noConversion"/>
  </si>
  <si>
    <t>dest = dest &gt;&gt; imm</t>
    <phoneticPr fontId="1" type="noConversion"/>
  </si>
  <si>
    <t>dest = dest | src</t>
    <phoneticPr fontId="1" type="noConversion"/>
  </si>
  <si>
    <t>dest = dest | imm</t>
    <phoneticPr fontId="1" type="noConversion"/>
  </si>
  <si>
    <t>dest = dest &amp; src</t>
    <phoneticPr fontId="1" type="noConversion"/>
  </si>
  <si>
    <t>dest = dest &amp; imm,</t>
    <phoneticPr fontId="1" type="noConversion"/>
  </si>
  <si>
    <t>dest = dest ^ src</t>
    <phoneticPr fontId="1" type="noConversion"/>
  </si>
  <si>
    <t>dest = dest ^ imm</t>
    <phoneticPr fontId="1" type="noConversion"/>
  </si>
  <si>
    <t>dest = stack.pop()</t>
    <phoneticPr fontId="1" type="noConversion"/>
  </si>
  <si>
    <t>stack.push(src)</t>
    <phoneticPr fontId="1" type="noConversion"/>
  </si>
  <si>
    <t>dest = RAM[base + off]</t>
    <phoneticPr fontId="1" type="noConversion"/>
  </si>
  <si>
    <t>RAM[base + off] = src</t>
    <phoneticPr fontId="1" type="noConversion"/>
  </si>
  <si>
    <t>PC = base + off</t>
    <phoneticPr fontId="1" type="noConversion"/>
  </si>
  <si>
    <t>stack.push(PC),PC = base+off</t>
    <phoneticPr fontId="1" type="noConversion"/>
  </si>
  <si>
    <t>PC = stack.pop()</t>
    <phoneticPr fontId="1" type="noConversion"/>
  </si>
  <si>
    <t>halt cpu</t>
    <phoneticPr fontId="1" type="noConversion"/>
  </si>
  <si>
    <t>ld+base</t>
    <phoneticPr fontId="1" type="noConversion"/>
  </si>
  <si>
    <t>st+base</t>
    <phoneticPr fontId="1" type="noConversion"/>
  </si>
  <si>
    <t>jp+(f[n])</t>
    <phoneticPr fontId="1" type="noConversion"/>
  </si>
  <si>
    <t>cache</t>
    <phoneticPr fontId="1" type="noConversion"/>
  </si>
  <si>
    <t>intervec</t>
    <phoneticPr fontId="1" type="noConversion"/>
  </si>
  <si>
    <t>nop</t>
    <phoneticPr fontId="1" type="noConversion"/>
  </si>
  <si>
    <t>no operation</t>
    <phoneticPr fontId="1" type="noConversion"/>
  </si>
  <si>
    <t>level</t>
    <phoneticPr fontId="1" type="noConversion"/>
  </si>
  <si>
    <t>iret</t>
    <phoneticPr fontId="1" type="noConversion"/>
  </si>
  <si>
    <t>PC = stack.pop(), end inter</t>
    <phoneticPr fontId="1" type="noConversion"/>
  </si>
  <si>
    <t>user</t>
    <phoneticPr fontId="1" type="noConversion"/>
  </si>
  <si>
    <t>kernel</t>
    <phoneticPr fontId="1" type="noConversion"/>
  </si>
  <si>
    <t>name</t>
    <phoneticPr fontId="1" type="noConversion"/>
  </si>
  <si>
    <t>u.u</t>
    <phoneticPr fontId="1" type="noConversion"/>
  </si>
  <si>
    <t>S8L</t>
    <phoneticPr fontId="1" type="noConversion"/>
  </si>
  <si>
    <t>S8H</t>
    <phoneticPr fontId="1" type="noConversion"/>
  </si>
  <si>
    <t>carry4</t>
    <phoneticPr fontId="1" type="noConversion"/>
  </si>
  <si>
    <t>0</t>
    <phoneticPr fontId="1" type="noConversion"/>
  </si>
  <si>
    <t>S16L</t>
    <phoneticPr fontId="1" type="noConversion"/>
  </si>
  <si>
    <t>overflow</t>
    <phoneticPr fontId="1" type="noConversion"/>
  </si>
  <si>
    <t>pc.ov</t>
    <phoneticPr fontId="1" type="noConversion"/>
  </si>
  <si>
    <t>sc.ov</t>
    <phoneticPr fontId="1" type="noConversion"/>
  </si>
  <si>
    <t>syscall</t>
    <phoneticPr fontId="1" type="noConversion"/>
  </si>
  <si>
    <t>registers</t>
    <phoneticPr fontId="1" type="noConversion"/>
  </si>
  <si>
    <t>GEN</t>
    <phoneticPr fontId="1" type="noConversion"/>
  </si>
  <si>
    <t>CONST</t>
    <phoneticPr fontId="1" type="noConversion"/>
  </si>
  <si>
    <t>CPU</t>
    <phoneticPr fontId="1" type="noConversion"/>
  </si>
  <si>
    <t>GEN,CPU</t>
    <phoneticPr fontId="1" type="noConversion"/>
  </si>
  <si>
    <t>out</t>
    <phoneticPr fontId="1" type="noConversion"/>
  </si>
  <si>
    <t>carry</t>
    <phoneticPr fontId="1" type="noConversion"/>
  </si>
  <si>
    <t>in,out</t>
    <phoneticPr fontId="1" type="noConversion"/>
  </si>
  <si>
    <t>const</t>
    <phoneticPr fontId="1" type="noConversion"/>
  </si>
  <si>
    <t>bit</t>
    <phoneticPr fontId="1" type="noConversion"/>
  </si>
  <si>
    <t>register mode</t>
    <phoneticPr fontId="1" type="noConversion"/>
  </si>
  <si>
    <t>gen2[0~15]</t>
    <phoneticPr fontId="1" type="noConversion"/>
  </si>
  <si>
    <t>Dumpling Industry's CPU-32 instruction set</t>
    <phoneticPr fontId="1" type="noConversion"/>
  </si>
  <si>
    <t>cmp</t>
    <phoneticPr fontId="1" type="noConversion"/>
  </si>
  <si>
    <t>src1</t>
    <phoneticPr fontId="1" type="noConversion"/>
  </si>
  <si>
    <t>src2</t>
    <phoneticPr fontId="1" type="noConversion"/>
  </si>
  <si>
    <t>set flag for src1 - src2</t>
    <phoneticPr fontId="1" type="noConversion"/>
  </si>
  <si>
    <t>sbp</t>
    <phoneticPr fontId="1" type="noConversion"/>
  </si>
  <si>
    <t>shiftl</t>
    <phoneticPr fontId="1" type="noConversion"/>
  </si>
  <si>
    <t>shiftr</t>
    <phoneticPr fontId="1" type="noConversion"/>
  </si>
  <si>
    <t>shiftri</t>
    <phoneticPr fontId="1" type="noConversion"/>
  </si>
  <si>
    <t>shiftli</t>
    <phoneticPr fontId="1" type="noConversion"/>
  </si>
  <si>
    <t>shiftrc</t>
    <phoneticPr fontId="1" type="noConversion"/>
  </si>
  <si>
    <t>shiftlc</t>
    <phoneticPr fontId="1" type="noConversion"/>
  </si>
  <si>
    <t>dest = flag[carry], dest &gt;&gt; src</t>
    <phoneticPr fontId="1" type="noConversion"/>
  </si>
  <si>
    <t>dest = dest &lt;&lt; src, flag[carry]</t>
    <phoneticPr fontId="1" type="noConversion"/>
  </si>
  <si>
    <t>dest = dest &lt;rollright&gt; src</t>
    <phoneticPr fontId="1" type="noConversion"/>
  </si>
  <si>
    <t>dest = dest &lt;rollleft&gt; src</t>
    <phoneticPr fontId="1" type="noConversion"/>
  </si>
  <si>
    <t>test</t>
    <phoneticPr fontId="1" type="noConversion"/>
  </si>
  <si>
    <t>set flag for src1 &amp; src2</t>
    <phoneticPr fontId="1" type="noConversion"/>
  </si>
  <si>
    <t>rori</t>
    <phoneticPr fontId="1" type="noConversion"/>
  </si>
  <si>
    <t>rol</t>
    <phoneticPr fontId="1" type="noConversion"/>
  </si>
  <si>
    <t>roli</t>
    <phoneticPr fontId="1" type="noConversion"/>
  </si>
  <si>
    <t>ror</t>
    <phoneticPr fontId="1" type="noConversion"/>
  </si>
  <si>
    <t>dest = dest &lt;rollright&gt; imm</t>
    <phoneticPr fontId="1" type="noConversion"/>
  </si>
  <si>
    <t>dest = dest &lt;rollleft&gt; imm</t>
    <phoneticPr fontId="1" type="noConversion"/>
  </si>
  <si>
    <t xml:space="preserve"> </t>
    <phoneticPr fontId="1" type="noConversion"/>
  </si>
  <si>
    <t>jpi+(f[n])</t>
    <phoneticPr fontId="1" type="noConversion"/>
  </si>
  <si>
    <t>S16H</t>
    <phoneticPr fontId="1" type="noConversion"/>
  </si>
  <si>
    <t>sets</t>
    <phoneticPr fontId="1" type="noConversion"/>
  </si>
  <si>
    <t>dest = imm (higher set sign)</t>
    <phoneticPr fontId="1" type="noConversion"/>
  </si>
  <si>
    <t>set flag for src &amp; imm</t>
    <phoneticPr fontId="1" type="noConversion"/>
  </si>
  <si>
    <t>set flag for src - imm</t>
    <phoneticPr fontId="1" type="noConversion"/>
  </si>
  <si>
    <t>cmpi</t>
    <phoneticPr fontId="1" type="noConversion"/>
  </si>
  <si>
    <t>testi</t>
    <phoneticPr fontId="1" type="noConversion"/>
  </si>
  <si>
    <t>block</t>
    <phoneticPr fontId="1" type="noConversion"/>
  </si>
  <si>
    <t>blocks pipeline</t>
    <phoneticPr fontId="1" type="noConversion"/>
  </si>
  <si>
    <t>ABI</t>
    <phoneticPr fontId="1" type="noConversion"/>
  </si>
  <si>
    <t>return</t>
    <phoneticPr fontId="1" type="noConversion"/>
  </si>
  <si>
    <t>arg1</t>
    <phoneticPr fontId="1" type="noConversion"/>
  </si>
  <si>
    <t>callee</t>
    <phoneticPr fontId="1" type="noConversion"/>
  </si>
  <si>
    <t>caller</t>
    <phoneticPr fontId="1" type="noConversion"/>
  </si>
  <si>
    <t>addr</t>
    <phoneticPr fontId="1" type="noConversion"/>
  </si>
  <si>
    <t>interpri</t>
    <phoneticPr fontId="1" type="noConversion"/>
  </si>
  <si>
    <t>m(0~255)</t>
    <phoneticPr fontId="1" type="noConversion"/>
  </si>
  <si>
    <t>int_vec[id] = base + imm</t>
    <phoneticPr fontId="1" type="noConversion"/>
  </si>
  <si>
    <t>int_pri[id] = imm</t>
    <phoneticPr fontId="1" type="noConversion"/>
  </si>
  <si>
    <t>d(0~63)</t>
    <phoneticPr fontId="1" type="noConversion"/>
  </si>
  <si>
    <t>m(0~15)</t>
    <phoneticPr fontId="1" type="noConversion"/>
  </si>
  <si>
    <t>stexp</t>
    <phoneticPr fontId="1" type="noConversion"/>
  </si>
  <si>
    <t>ldexp</t>
    <phoneticPr fontId="1" type="noConversion"/>
  </si>
  <si>
    <t>ex-1</t>
    <phoneticPr fontId="1" type="noConversion"/>
  </si>
  <si>
    <t>istack</t>
    <phoneticPr fontId="1" type="noConversion"/>
  </si>
  <si>
    <t>panic-vec</t>
    <phoneticPr fontId="1" type="noConversion"/>
  </si>
  <si>
    <t>cpu-id</t>
    <phoneticPr fontId="1" type="noConversion"/>
  </si>
  <si>
    <t>special</t>
    <phoneticPr fontId="1" type="noConversion"/>
  </si>
  <si>
    <t>exp = src</t>
    <phoneticPr fontId="1" type="noConversion"/>
  </si>
  <si>
    <t>dest = exp</t>
    <phoneticPr fontId="1" type="noConversion"/>
  </si>
  <si>
    <t>wait cpu for interrupt</t>
    <phoneticPr fontId="1" type="noConversion"/>
  </si>
  <si>
    <t>wait</t>
    <phoneticPr fontId="1" type="noConversion"/>
  </si>
  <si>
    <t>break</t>
    <phoneticPr fontId="1" type="noConversion"/>
  </si>
  <si>
    <t>gen1[0~5]</t>
    <phoneticPr fontId="1" type="noConversion"/>
  </si>
  <si>
    <t>p-base</t>
    <phoneticPr fontId="1" type="noConversion"/>
  </si>
  <si>
    <t>id</t>
    <phoneticPr fontId="1" type="noConversion"/>
  </si>
  <si>
    <t>base</t>
    <phoneticPr fontId="1" type="noConversion"/>
  </si>
  <si>
    <t>m(s8bit)</t>
    <phoneticPr fontId="1" type="noConversion"/>
  </si>
  <si>
    <t>int-level</t>
    <phoneticPr fontId="1" type="noConversion"/>
  </si>
  <si>
    <t>debug trap</t>
    <phoneticPr fontId="1" type="noConversion"/>
  </si>
  <si>
    <t>system call trap</t>
    <phoneticPr fontId="1" type="noConversion"/>
  </si>
  <si>
    <t>dest</t>
    <phoneticPr fontId="1" type="noConversion"/>
  </si>
  <si>
    <t>src</t>
    <phoneticPr fontId="1" type="noConversion"/>
  </si>
  <si>
    <t>u.u</t>
    <phoneticPr fontId="1" type="noConversion"/>
  </si>
  <si>
    <t>EXT</t>
    <phoneticPr fontId="1" type="noConversion"/>
  </si>
  <si>
    <t>dest = (ABS-addr )src</t>
    <phoneticPr fontId="1" type="noConversion"/>
  </si>
  <si>
    <t>getabs</t>
    <phoneticPr fontId="1" type="noConversion"/>
  </si>
  <si>
    <t>pctl</t>
    <phoneticPr fontId="1" type="noConversion"/>
  </si>
  <si>
    <t>en/dis</t>
    <phoneticPr fontId="1" type="noConversion"/>
  </si>
  <si>
    <t>en/disable page</t>
    <phoneticPr fontId="1" type="noConversion"/>
  </si>
  <si>
    <t>extra</t>
    <phoneticPr fontId="1" type="noConversion"/>
  </si>
  <si>
    <t>exp</t>
    <phoneticPr fontId="1" type="noConversion"/>
  </si>
  <si>
    <t>ISA-expantion</t>
    <phoneticPr fontId="1" type="noConversion"/>
  </si>
  <si>
    <t>cache id</t>
    <phoneticPr fontId="1" type="noConversion"/>
  </si>
  <si>
    <t>6. none</t>
    <phoneticPr fontId="1" type="noConversion"/>
  </si>
  <si>
    <t>5. none</t>
    <phoneticPr fontId="1" type="noConversion"/>
  </si>
  <si>
    <t>3. TLB</t>
    <phoneticPr fontId="1" type="noConversion"/>
  </si>
  <si>
    <t>2. L1D</t>
    <phoneticPr fontId="1" type="noConversion"/>
  </si>
  <si>
    <t>1. L1I</t>
    <phoneticPr fontId="1" type="noConversion"/>
  </si>
  <si>
    <t>4. L2</t>
    <phoneticPr fontId="1" type="noConversion"/>
  </si>
  <si>
    <t>id(EXT)</t>
    <phoneticPr fontId="1" type="noConversion"/>
  </si>
  <si>
    <t>all: all in cache, md: flush/inval</t>
    <phoneticPr fontId="1" type="noConversion"/>
  </si>
  <si>
    <t>7. all</t>
    <phoneticPr fontId="1" type="noConversion"/>
  </si>
  <si>
    <t>8. md</t>
    <phoneticPr fontId="1" type="noConversion"/>
  </si>
  <si>
    <t>flush/inval cache[base+m]</t>
    <phoneticPr fontId="1" type="noConversion"/>
  </si>
  <si>
    <t>atom</t>
    <phoneticPr fontId="1" type="noConversion"/>
  </si>
  <si>
    <t>len</t>
    <phoneticPr fontId="1" type="noConversion"/>
  </si>
  <si>
    <t>u.u</t>
    <phoneticPr fontId="1" type="noConversion"/>
  </si>
  <si>
    <t>atomize following</t>
    <phoneticPr fontId="1" type="noConversion"/>
  </si>
  <si>
    <t>register
EXT</t>
    <phoneticPr fontId="1" type="noConversion"/>
  </si>
  <si>
    <t>extra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</si>
</sst>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20" fontId="0" fillId="0" borderId="0" xfId="0" quotePrefix="1" applyNumberFormat="1">
      <alignment vertical="center"/>
    </xf>
    <xf numFmtId="0" fontId="0" fillId="0" borderId="0" xfId="0" quotePrefix="1">
      <alignment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20" fontId="0" fillId="0" borderId="1" xfId="0" quotePrefix="1" applyNumberFormat="1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6" xfId="0" quotePrefix="1" applyBorder="1">
      <alignment vertical="center"/>
    </xf>
    <xf numFmtId="0" fontId="0" fillId="0" borderId="7" xfId="0" applyBorder="1">
      <alignment vertical="center"/>
    </xf>
    <xf numFmtId="20" fontId="0" fillId="0" borderId="7" xfId="0" quotePrefix="1" applyNumberFormat="1" applyBorder="1">
      <alignment vertical="center"/>
    </xf>
    <xf numFmtId="0" fontId="0" fillId="0" borderId="8" xfId="0" quotePrefix="1" applyBorder="1">
      <alignment vertical="center"/>
    </xf>
    <xf numFmtId="0" fontId="0" fillId="0" borderId="1" xfId="0" quotePrefix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8C175-9470-4948-827C-8B252F84812F}">
  <sheetPr>
    <pageSetUpPr fitToPage="1"/>
  </sheetPr>
  <dimension ref="A5:AG67"/>
  <sheetViews>
    <sheetView tabSelected="1" topLeftCell="A39" zoomScaleNormal="100" workbookViewId="0">
      <selection activeCell="D64" sqref="D64"/>
    </sheetView>
  </sheetViews>
  <sheetFormatPr defaultRowHeight="16.5" x14ac:dyDescent="0.3"/>
  <sheetData>
    <row r="5" spans="1:33" ht="17.25" thickBot="1" x14ac:dyDescent="0.35">
      <c r="A5" s="2" t="s">
        <v>29</v>
      </c>
    </row>
    <row r="6" spans="1:33" x14ac:dyDescent="0.3">
      <c r="B6" s="20" t="s">
        <v>114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2"/>
    </row>
    <row r="7" spans="1:33" x14ac:dyDescent="0.3">
      <c r="B7" s="23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5"/>
    </row>
    <row r="8" spans="1:33" x14ac:dyDescent="0.3">
      <c r="B8" s="26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8"/>
    </row>
    <row r="9" spans="1:33" x14ac:dyDescent="0.3">
      <c r="B9" s="19" t="s">
        <v>44</v>
      </c>
      <c r="C9" s="17"/>
      <c r="D9" s="17"/>
      <c r="E9" s="17"/>
      <c r="F9" s="17"/>
      <c r="G9" s="17"/>
      <c r="H9" s="17"/>
      <c r="I9" s="17"/>
      <c r="J9" s="17"/>
      <c r="K9" s="17"/>
      <c r="L9" s="17" t="s">
        <v>102</v>
      </c>
      <c r="M9" s="17"/>
      <c r="N9" s="17"/>
      <c r="O9" s="18"/>
    </row>
    <row r="10" spans="1:33" x14ac:dyDescent="0.3">
      <c r="B10" s="9" t="s">
        <v>86</v>
      </c>
      <c r="C10" s="3" t="s">
        <v>46</v>
      </c>
      <c r="D10" s="3" t="s">
        <v>39</v>
      </c>
      <c r="E10" s="3" t="s">
        <v>0</v>
      </c>
      <c r="F10" s="3" t="s">
        <v>40</v>
      </c>
      <c r="G10" s="3" t="s">
        <v>42</v>
      </c>
      <c r="H10" s="3" t="s">
        <v>41</v>
      </c>
      <c r="I10" s="17" t="s">
        <v>43</v>
      </c>
      <c r="J10" s="17"/>
      <c r="K10" s="17"/>
      <c r="L10" s="3" t="s">
        <v>46</v>
      </c>
      <c r="M10" s="3" t="s">
        <v>39</v>
      </c>
      <c r="N10" s="3" t="s">
        <v>91</v>
      </c>
      <c r="O10" s="10" t="s">
        <v>149</v>
      </c>
    </row>
    <row r="11" spans="1:33" x14ac:dyDescent="0.3">
      <c r="B11" s="9" t="s">
        <v>89</v>
      </c>
      <c r="C11" s="17" t="s">
        <v>45</v>
      </c>
      <c r="D11" s="4" t="s">
        <v>26</v>
      </c>
      <c r="E11" s="3" t="s">
        <v>13</v>
      </c>
      <c r="F11" s="3" t="s">
        <v>11</v>
      </c>
      <c r="G11" s="3" t="s">
        <v>12</v>
      </c>
      <c r="H11" s="3" t="s">
        <v>92</v>
      </c>
      <c r="I11" s="17" t="s">
        <v>55</v>
      </c>
      <c r="J11" s="17"/>
      <c r="K11" s="17"/>
      <c r="L11" s="17" t="s">
        <v>103</v>
      </c>
      <c r="M11" s="4" t="s">
        <v>26</v>
      </c>
      <c r="N11" s="3" t="str">
        <f t="shared" ref="N11:N16" si="0">_xlfn.TEXTJOIN(,TRUE,"gen[",_xlfn.VALUETOTEXT(HEX2DEC(M11)),"]")</f>
        <v>gen[0]</v>
      </c>
      <c r="O11" s="8" t="s">
        <v>150</v>
      </c>
    </row>
    <row r="12" spans="1:33" x14ac:dyDescent="0.3">
      <c r="B12" s="9" t="s">
        <v>89</v>
      </c>
      <c r="C12" s="17"/>
      <c r="D12" s="3" t="str">
        <f t="shared" ref="D12:D36" si="1">_xlfn.TEXTJOIN(,TRUE,IF(HEX2DEC(D11)+1 &lt; 16,"0", ""), DEC2HEX(HEX2DEC(D11)+1))</f>
        <v>01</v>
      </c>
      <c r="E12" s="3" t="s">
        <v>14</v>
      </c>
      <c r="F12" s="3" t="s">
        <v>11</v>
      </c>
      <c r="G12" s="3" t="s">
        <v>12</v>
      </c>
      <c r="H12" s="3" t="s">
        <v>92</v>
      </c>
      <c r="I12" s="17" t="s">
        <v>56</v>
      </c>
      <c r="J12" s="17"/>
      <c r="K12" s="17"/>
      <c r="L12" s="17"/>
      <c r="M12" s="3" t="str">
        <f t="shared" ref="M12:M42" si="2">_xlfn.TEXTJOIN(,TRUE,IF(HEX2DEC(M11)+1 &lt; 16,"0", ""), DEC2HEX(HEX2DEC(M11)+1))</f>
        <v>01</v>
      </c>
      <c r="N12" s="3" t="str">
        <f t="shared" si="0"/>
        <v>gen[1]</v>
      </c>
      <c r="O12" s="18" t="s">
        <v>151</v>
      </c>
    </row>
    <row r="13" spans="1:33" x14ac:dyDescent="0.3">
      <c r="B13" s="9" t="s">
        <v>89</v>
      </c>
      <c r="C13" s="17"/>
      <c r="D13" s="3" t="str">
        <f t="shared" si="1"/>
        <v>02</v>
      </c>
      <c r="E13" s="3" t="s">
        <v>15</v>
      </c>
      <c r="F13" s="3" t="s">
        <v>11</v>
      </c>
      <c r="G13" s="17" t="s">
        <v>33</v>
      </c>
      <c r="H13" s="17"/>
      <c r="I13" s="17" t="s">
        <v>57</v>
      </c>
      <c r="J13" s="17"/>
      <c r="K13" s="17"/>
      <c r="L13" s="17"/>
      <c r="M13" s="3" t="str">
        <f t="shared" si="2"/>
        <v>02</v>
      </c>
      <c r="N13" s="3" t="str">
        <f t="shared" si="0"/>
        <v>gen[2]</v>
      </c>
      <c r="O13" s="18"/>
    </row>
    <row r="14" spans="1:33" x14ac:dyDescent="0.3">
      <c r="B14" s="9" t="s">
        <v>89</v>
      </c>
      <c r="C14" s="17"/>
      <c r="D14" s="3" t="str">
        <f t="shared" si="1"/>
        <v>03</v>
      </c>
      <c r="E14" s="3" t="s">
        <v>16</v>
      </c>
      <c r="F14" s="3" t="s">
        <v>11</v>
      </c>
      <c r="G14" s="3" t="s">
        <v>12</v>
      </c>
      <c r="H14" s="3" t="s">
        <v>92</v>
      </c>
      <c r="I14" s="17" t="s">
        <v>58</v>
      </c>
      <c r="J14" s="17"/>
      <c r="K14" s="17"/>
      <c r="L14" s="17"/>
      <c r="M14" s="3" t="str">
        <f t="shared" si="2"/>
        <v>03</v>
      </c>
      <c r="N14" s="3" t="str">
        <f t="shared" si="0"/>
        <v>gen[3]</v>
      </c>
      <c r="O14" s="18"/>
    </row>
    <row r="15" spans="1:33" x14ac:dyDescent="0.3">
      <c r="B15" s="9" t="s">
        <v>89</v>
      </c>
      <c r="C15" s="17"/>
      <c r="D15" s="3" t="str">
        <f t="shared" si="1"/>
        <v>04</v>
      </c>
      <c r="E15" s="3" t="s">
        <v>17</v>
      </c>
      <c r="F15" s="3" t="s">
        <v>11</v>
      </c>
      <c r="G15" s="3" t="s">
        <v>12</v>
      </c>
      <c r="H15" s="3" t="s">
        <v>92</v>
      </c>
      <c r="I15" s="17" t="s">
        <v>59</v>
      </c>
      <c r="J15" s="17"/>
      <c r="K15" s="17"/>
      <c r="L15" s="17"/>
      <c r="M15" s="3" t="str">
        <f t="shared" si="2"/>
        <v>04</v>
      </c>
      <c r="N15" s="3" t="str">
        <f t="shared" si="0"/>
        <v>gen[4]</v>
      </c>
      <c r="O15" s="18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F15" s="16"/>
      <c r="AG15" s="16"/>
    </row>
    <row r="16" spans="1:33" x14ac:dyDescent="0.3">
      <c r="B16" s="9" t="s">
        <v>89</v>
      </c>
      <c r="C16" s="17"/>
      <c r="D16" s="3" t="str">
        <f t="shared" si="1"/>
        <v>05</v>
      </c>
      <c r="E16" s="3" t="s">
        <v>18</v>
      </c>
      <c r="F16" s="3" t="s">
        <v>11</v>
      </c>
      <c r="G16" s="17" t="s">
        <v>33</v>
      </c>
      <c r="H16" s="17"/>
      <c r="I16" s="17" t="s">
        <v>60</v>
      </c>
      <c r="J16" s="17"/>
      <c r="K16" s="17"/>
      <c r="L16" s="17"/>
      <c r="M16" s="3" t="str">
        <f t="shared" si="2"/>
        <v>05</v>
      </c>
      <c r="N16" s="3" t="str">
        <f t="shared" si="0"/>
        <v>gen[5]</v>
      </c>
      <c r="O16" s="18" t="s">
        <v>152</v>
      </c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spans="2:31" x14ac:dyDescent="0.3">
      <c r="B17" s="9" t="s">
        <v>89</v>
      </c>
      <c r="C17" s="17"/>
      <c r="D17" s="3" t="str">
        <f t="shared" si="1"/>
        <v>06</v>
      </c>
      <c r="E17" s="3" t="s">
        <v>23</v>
      </c>
      <c r="F17" s="3" t="s">
        <v>11</v>
      </c>
      <c r="G17" s="3" t="s">
        <v>12</v>
      </c>
      <c r="H17" s="3" t="s">
        <v>92</v>
      </c>
      <c r="I17" s="17" t="s">
        <v>69</v>
      </c>
      <c r="J17" s="17"/>
      <c r="K17" s="17"/>
      <c r="L17" s="17"/>
      <c r="M17" s="3" t="str">
        <f t="shared" si="2"/>
        <v>06</v>
      </c>
      <c r="N17" s="3" t="str">
        <f t="shared" ref="N17:N35" si="3">_xlfn.TEXTJOIN(,TRUE,"gen[",_xlfn.VALUETOTEXT(HEX2DEC(M17)),"]")</f>
        <v>gen[6]</v>
      </c>
      <c r="O17" s="18"/>
    </row>
    <row r="18" spans="2:31" x14ac:dyDescent="0.3">
      <c r="B18" s="9" t="s">
        <v>89</v>
      </c>
      <c r="C18" s="17"/>
      <c r="D18" s="3" t="str">
        <f t="shared" si="1"/>
        <v>07</v>
      </c>
      <c r="E18" s="3" t="s">
        <v>35</v>
      </c>
      <c r="F18" s="3" t="s">
        <v>11</v>
      </c>
      <c r="G18" s="17" t="s">
        <v>33</v>
      </c>
      <c r="H18" s="17"/>
      <c r="I18" s="17" t="s">
        <v>70</v>
      </c>
      <c r="J18" s="17"/>
      <c r="K18" s="17"/>
      <c r="L18" s="17"/>
      <c r="M18" s="3" t="str">
        <f t="shared" si="2"/>
        <v>07</v>
      </c>
      <c r="N18" s="3" t="str">
        <f t="shared" si="3"/>
        <v>gen[7]</v>
      </c>
      <c r="O18" s="18"/>
      <c r="AE18" s="2"/>
    </row>
    <row r="19" spans="2:31" x14ac:dyDescent="0.3">
      <c r="B19" s="9" t="s">
        <v>89</v>
      </c>
      <c r="C19" s="17"/>
      <c r="D19" s="3" t="str">
        <f t="shared" si="1"/>
        <v>08</v>
      </c>
      <c r="E19" s="3" t="s">
        <v>21</v>
      </c>
      <c r="F19" s="3" t="s">
        <v>11</v>
      </c>
      <c r="G19" s="3" t="s">
        <v>12</v>
      </c>
      <c r="H19" s="3" t="s">
        <v>92</v>
      </c>
      <c r="I19" s="17" t="s">
        <v>65</v>
      </c>
      <c r="J19" s="17"/>
      <c r="K19" s="17"/>
      <c r="L19" s="17"/>
      <c r="M19" s="3" t="str">
        <f t="shared" si="2"/>
        <v>08</v>
      </c>
      <c r="N19" s="3" t="str">
        <f t="shared" si="3"/>
        <v>gen[8]</v>
      </c>
      <c r="O19" s="18"/>
      <c r="V19" s="2"/>
    </row>
    <row r="20" spans="2:31" x14ac:dyDescent="0.3">
      <c r="B20" s="9" t="s">
        <v>89</v>
      </c>
      <c r="C20" s="17"/>
      <c r="D20" s="3" t="str">
        <f t="shared" si="1"/>
        <v>09</v>
      </c>
      <c r="E20" s="3" t="s">
        <v>32</v>
      </c>
      <c r="F20" s="3" t="s">
        <v>11</v>
      </c>
      <c r="G20" s="17" t="s">
        <v>33</v>
      </c>
      <c r="H20" s="17"/>
      <c r="I20" s="17" t="s">
        <v>66</v>
      </c>
      <c r="J20" s="17"/>
      <c r="K20" s="17"/>
      <c r="L20" s="17"/>
      <c r="M20" s="3" t="str">
        <f t="shared" si="2"/>
        <v>09</v>
      </c>
      <c r="N20" s="3" t="str">
        <f t="shared" si="3"/>
        <v>gen[9]</v>
      </c>
      <c r="O20" s="18"/>
      <c r="R20" s="2"/>
      <c r="V20" s="2"/>
    </row>
    <row r="21" spans="2:31" x14ac:dyDescent="0.3">
      <c r="B21" s="9" t="s">
        <v>89</v>
      </c>
      <c r="C21" s="17"/>
      <c r="D21" s="3" t="str">
        <f t="shared" si="1"/>
        <v>0A</v>
      </c>
      <c r="E21" s="3" t="s">
        <v>22</v>
      </c>
      <c r="F21" s="3" t="s">
        <v>11</v>
      </c>
      <c r="G21" s="3" t="s">
        <v>12</v>
      </c>
      <c r="H21" s="3" t="s">
        <v>92</v>
      </c>
      <c r="I21" s="17" t="s">
        <v>67</v>
      </c>
      <c r="J21" s="17"/>
      <c r="K21" s="17"/>
      <c r="L21" s="17"/>
      <c r="M21" s="3" t="str">
        <f t="shared" si="2"/>
        <v>0A</v>
      </c>
      <c r="N21" s="3" t="str">
        <f t="shared" si="3"/>
        <v>gen[10]</v>
      </c>
      <c r="O21" s="18"/>
    </row>
    <row r="22" spans="2:31" x14ac:dyDescent="0.3">
      <c r="B22" s="9" t="s">
        <v>89</v>
      </c>
      <c r="C22" s="17"/>
      <c r="D22" s="3" t="str">
        <f t="shared" si="1"/>
        <v>0B</v>
      </c>
      <c r="E22" s="3" t="s">
        <v>34</v>
      </c>
      <c r="F22" s="3" t="s">
        <v>11</v>
      </c>
      <c r="G22" s="17" t="s">
        <v>33</v>
      </c>
      <c r="H22" s="17"/>
      <c r="I22" s="17" t="s">
        <v>68</v>
      </c>
      <c r="J22" s="17"/>
      <c r="K22" s="17"/>
      <c r="L22" s="17"/>
      <c r="M22" s="3" t="str">
        <f t="shared" si="2"/>
        <v>0B</v>
      </c>
      <c r="N22" s="3" t="str">
        <f t="shared" si="3"/>
        <v>gen[11]</v>
      </c>
      <c r="O22" s="18"/>
      <c r="S22" s="1"/>
      <c r="T22" s="2"/>
      <c r="U22" s="2"/>
      <c r="V22" s="1"/>
    </row>
    <row r="23" spans="2:31" x14ac:dyDescent="0.3">
      <c r="B23" s="9" t="s">
        <v>89</v>
      </c>
      <c r="C23" s="17"/>
      <c r="D23" s="3" t="str">
        <f t="shared" si="1"/>
        <v>0C</v>
      </c>
      <c r="E23" s="3" t="s">
        <v>133</v>
      </c>
      <c r="F23" s="3" t="s">
        <v>11</v>
      </c>
      <c r="G23" s="3" t="s">
        <v>12</v>
      </c>
      <c r="H23" s="3" t="s">
        <v>92</v>
      </c>
      <c r="I23" s="17" t="s">
        <v>128</v>
      </c>
      <c r="J23" s="17"/>
      <c r="K23" s="17"/>
      <c r="L23" s="17"/>
      <c r="M23" s="3" t="str">
        <f t="shared" si="2"/>
        <v>0C</v>
      </c>
      <c r="N23" s="3" t="str">
        <f t="shared" si="3"/>
        <v>gen[12]</v>
      </c>
      <c r="O23" s="18"/>
      <c r="S23" s="2"/>
      <c r="T23" s="2"/>
      <c r="U23" s="2"/>
      <c r="V23" s="2"/>
    </row>
    <row r="24" spans="2:31" x14ac:dyDescent="0.3">
      <c r="B24" s="9" t="s">
        <v>89</v>
      </c>
      <c r="C24" s="17"/>
      <c r="D24" s="3" t="str">
        <f t="shared" si="1"/>
        <v>0D</v>
      </c>
      <c r="E24" s="3" t="s">
        <v>134</v>
      </c>
      <c r="F24" s="3" t="s">
        <v>11</v>
      </c>
      <c r="G24" s="17" t="s">
        <v>33</v>
      </c>
      <c r="H24" s="17"/>
      <c r="I24" s="17" t="s">
        <v>136</v>
      </c>
      <c r="J24" s="17"/>
      <c r="K24" s="17"/>
      <c r="L24" s="17"/>
      <c r="M24" s="3" t="str">
        <f t="shared" si="2"/>
        <v>0D</v>
      </c>
      <c r="N24" s="3" t="str">
        <f t="shared" si="3"/>
        <v>gen[13]</v>
      </c>
      <c r="O24" s="18" t="s">
        <v>153</v>
      </c>
    </row>
    <row r="25" spans="2:31" x14ac:dyDescent="0.3">
      <c r="B25" s="9" t="s">
        <v>89</v>
      </c>
      <c r="C25" s="17"/>
      <c r="D25" s="3" t="str">
        <f t="shared" si="1"/>
        <v>0E</v>
      </c>
      <c r="E25" s="3" t="s">
        <v>135</v>
      </c>
      <c r="F25" s="3" t="s">
        <v>11</v>
      </c>
      <c r="G25" s="3" t="s">
        <v>12</v>
      </c>
      <c r="H25" s="3" t="s">
        <v>92</v>
      </c>
      <c r="I25" s="17" t="s">
        <v>129</v>
      </c>
      <c r="J25" s="17"/>
      <c r="K25" s="17"/>
      <c r="L25" s="17"/>
      <c r="M25" s="3" t="str">
        <f t="shared" si="2"/>
        <v>0E</v>
      </c>
      <c r="N25" s="3" t="str">
        <f t="shared" si="3"/>
        <v>gen[14]</v>
      </c>
      <c r="O25" s="18"/>
    </row>
    <row r="26" spans="2:31" x14ac:dyDescent="0.3">
      <c r="B26" s="9" t="s">
        <v>89</v>
      </c>
      <c r="C26" s="17"/>
      <c r="D26" s="3" t="str">
        <f t="shared" si="1"/>
        <v>0F</v>
      </c>
      <c r="E26" s="3" t="s">
        <v>132</v>
      </c>
      <c r="F26" s="3" t="s">
        <v>11</v>
      </c>
      <c r="G26" s="17" t="s">
        <v>33</v>
      </c>
      <c r="H26" s="17"/>
      <c r="I26" s="17" t="s">
        <v>137</v>
      </c>
      <c r="J26" s="17"/>
      <c r="K26" s="17"/>
      <c r="L26" s="17"/>
      <c r="M26" s="3" t="str">
        <f t="shared" si="2"/>
        <v>0F</v>
      </c>
      <c r="N26" s="3" t="str">
        <f t="shared" si="3"/>
        <v>gen[15]</v>
      </c>
      <c r="O26" s="18"/>
    </row>
    <row r="27" spans="2:31" x14ac:dyDescent="0.3">
      <c r="B27" s="9" t="s">
        <v>89</v>
      </c>
      <c r="C27" s="17"/>
      <c r="D27" s="3" t="str">
        <f t="shared" si="1"/>
        <v>10</v>
      </c>
      <c r="E27" s="3" t="s">
        <v>120</v>
      </c>
      <c r="F27" s="3" t="s">
        <v>11</v>
      </c>
      <c r="G27" s="3" t="s">
        <v>12</v>
      </c>
      <c r="H27" s="3" t="s">
        <v>92</v>
      </c>
      <c r="I27" s="17" t="s">
        <v>61</v>
      </c>
      <c r="J27" s="17"/>
      <c r="K27" s="17"/>
      <c r="L27" s="17"/>
      <c r="M27" s="3" t="str">
        <f t="shared" si="2"/>
        <v>10</v>
      </c>
      <c r="N27" s="3" t="str">
        <f t="shared" si="3"/>
        <v>gen[16]</v>
      </c>
      <c r="O27" s="18"/>
    </row>
    <row r="28" spans="2:31" x14ac:dyDescent="0.3">
      <c r="B28" s="9" t="s">
        <v>89</v>
      </c>
      <c r="C28" s="17"/>
      <c r="D28" s="3" t="str">
        <f t="shared" si="1"/>
        <v>11</v>
      </c>
      <c r="E28" s="3" t="s">
        <v>125</v>
      </c>
      <c r="F28" s="3" t="s">
        <v>11</v>
      </c>
      <c r="G28" s="3" t="s">
        <v>12</v>
      </c>
      <c r="H28" s="3" t="s">
        <v>92</v>
      </c>
      <c r="I28" s="17" t="s">
        <v>127</v>
      </c>
      <c r="J28" s="17"/>
      <c r="K28" s="17"/>
      <c r="L28" s="17"/>
      <c r="M28" s="3" t="str">
        <f t="shared" si="2"/>
        <v>11</v>
      </c>
      <c r="N28" s="3" t="str">
        <f t="shared" si="3"/>
        <v>gen[17]</v>
      </c>
      <c r="O28" s="18"/>
    </row>
    <row r="29" spans="2:31" x14ac:dyDescent="0.3">
      <c r="B29" s="9" t="s">
        <v>89</v>
      </c>
      <c r="C29" s="17"/>
      <c r="D29" s="3" t="str">
        <f t="shared" si="1"/>
        <v>12</v>
      </c>
      <c r="E29" s="3" t="s">
        <v>123</v>
      </c>
      <c r="F29" s="3" t="s">
        <v>11</v>
      </c>
      <c r="G29" s="17" t="s">
        <v>33</v>
      </c>
      <c r="H29" s="17"/>
      <c r="I29" s="17" t="s">
        <v>62</v>
      </c>
      <c r="J29" s="17"/>
      <c r="K29" s="17"/>
      <c r="L29" s="17"/>
      <c r="M29" s="3" t="str">
        <f t="shared" si="2"/>
        <v>12</v>
      </c>
      <c r="N29" s="3" t="str">
        <f t="shared" si="3"/>
        <v>gen[18]</v>
      </c>
      <c r="O29" s="18"/>
    </row>
    <row r="30" spans="2:31" x14ac:dyDescent="0.3">
      <c r="B30" s="9" t="s">
        <v>89</v>
      </c>
      <c r="C30" s="17"/>
      <c r="D30" s="3" t="str">
        <f t="shared" si="1"/>
        <v>13</v>
      </c>
      <c r="E30" s="3" t="s">
        <v>121</v>
      </c>
      <c r="F30" s="3" t="s">
        <v>11</v>
      </c>
      <c r="G30" s="3" t="s">
        <v>12</v>
      </c>
      <c r="H30" s="3" t="s">
        <v>92</v>
      </c>
      <c r="I30" s="17" t="s">
        <v>63</v>
      </c>
      <c r="J30" s="17"/>
      <c r="K30" s="17"/>
      <c r="L30" s="17"/>
      <c r="M30" s="3" t="str">
        <f t="shared" si="2"/>
        <v>13</v>
      </c>
      <c r="N30" s="3" t="str">
        <f t="shared" si="3"/>
        <v>gen[19]</v>
      </c>
      <c r="O30" s="18"/>
    </row>
    <row r="31" spans="2:31" x14ac:dyDescent="0.3">
      <c r="B31" s="9" t="s">
        <v>89</v>
      </c>
      <c r="C31" s="17"/>
      <c r="D31" s="3" t="str">
        <f t="shared" si="1"/>
        <v>14</v>
      </c>
      <c r="E31" s="3" t="s">
        <v>124</v>
      </c>
      <c r="F31" s="3" t="s">
        <v>11</v>
      </c>
      <c r="G31" s="3" t="s">
        <v>12</v>
      </c>
      <c r="H31" s="3" t="s">
        <v>92</v>
      </c>
      <c r="I31" s="17" t="s">
        <v>126</v>
      </c>
      <c r="J31" s="17"/>
      <c r="K31" s="17"/>
      <c r="L31" s="17"/>
      <c r="M31" s="3" t="str">
        <f t="shared" si="2"/>
        <v>14</v>
      </c>
      <c r="N31" s="3" t="str">
        <f t="shared" si="3"/>
        <v>gen[20]</v>
      </c>
      <c r="O31" s="18"/>
    </row>
    <row r="32" spans="2:31" x14ac:dyDescent="0.3">
      <c r="B32" s="9" t="s">
        <v>89</v>
      </c>
      <c r="C32" s="17"/>
      <c r="D32" s="3" t="str">
        <f t="shared" si="1"/>
        <v>15</v>
      </c>
      <c r="E32" s="3" t="s">
        <v>122</v>
      </c>
      <c r="F32" s="3" t="s">
        <v>11</v>
      </c>
      <c r="G32" s="17" t="s">
        <v>33</v>
      </c>
      <c r="H32" s="17"/>
      <c r="I32" s="17" t="s">
        <v>64</v>
      </c>
      <c r="J32" s="17"/>
      <c r="K32" s="17"/>
      <c r="L32" s="17"/>
      <c r="M32" s="3" t="str">
        <f t="shared" si="2"/>
        <v>15</v>
      </c>
      <c r="N32" s="3" t="str">
        <f t="shared" si="3"/>
        <v>gen[21]</v>
      </c>
      <c r="O32" s="18" t="s">
        <v>154</v>
      </c>
    </row>
    <row r="33" spans="2:25" x14ac:dyDescent="0.3">
      <c r="B33" s="9" t="s">
        <v>89</v>
      </c>
      <c r="C33" s="17"/>
      <c r="D33" s="3" t="str">
        <f t="shared" si="1"/>
        <v>16</v>
      </c>
      <c r="E33" s="3" t="s">
        <v>115</v>
      </c>
      <c r="F33" s="3" t="s">
        <v>116</v>
      </c>
      <c r="G33" s="3" t="s">
        <v>117</v>
      </c>
      <c r="H33" s="3" t="s">
        <v>92</v>
      </c>
      <c r="I33" s="17" t="s">
        <v>118</v>
      </c>
      <c r="J33" s="17"/>
      <c r="K33" s="17"/>
      <c r="L33" s="17"/>
      <c r="M33" s="3" t="str">
        <f t="shared" si="2"/>
        <v>16</v>
      </c>
      <c r="N33" s="3" t="str">
        <f t="shared" si="3"/>
        <v>gen[22]</v>
      </c>
      <c r="O33" s="18"/>
    </row>
    <row r="34" spans="2:25" x14ac:dyDescent="0.3">
      <c r="B34" s="9" t="s">
        <v>89</v>
      </c>
      <c r="C34" s="17"/>
      <c r="D34" s="3" t="str">
        <f t="shared" si="1"/>
        <v>17</v>
      </c>
      <c r="E34" s="3" t="s">
        <v>145</v>
      </c>
      <c r="F34" s="3" t="s">
        <v>12</v>
      </c>
      <c r="G34" s="17" t="s">
        <v>33</v>
      </c>
      <c r="H34" s="17"/>
      <c r="I34" s="17" t="s">
        <v>144</v>
      </c>
      <c r="J34" s="17"/>
      <c r="K34" s="17"/>
      <c r="L34" s="17"/>
      <c r="M34" s="3" t="str">
        <f t="shared" si="2"/>
        <v>17</v>
      </c>
      <c r="N34" s="3" t="str">
        <f t="shared" si="3"/>
        <v>gen[23]</v>
      </c>
      <c r="O34" s="18"/>
      <c r="R34" t="s">
        <v>138</v>
      </c>
      <c r="T34" s="16"/>
      <c r="U34" s="16"/>
      <c r="V34" s="16"/>
      <c r="W34" s="16"/>
      <c r="X34" s="16"/>
      <c r="Y34" s="16"/>
    </row>
    <row r="35" spans="2:25" x14ac:dyDescent="0.3">
      <c r="B35" s="9" t="s">
        <v>89</v>
      </c>
      <c r="C35" s="17"/>
      <c r="D35" s="3" t="str">
        <f t="shared" si="1"/>
        <v>18</v>
      </c>
      <c r="E35" s="3" t="s">
        <v>130</v>
      </c>
      <c r="F35" s="3" t="s">
        <v>116</v>
      </c>
      <c r="G35" s="3" t="s">
        <v>117</v>
      </c>
      <c r="H35" s="3" t="s">
        <v>92</v>
      </c>
      <c r="I35" s="17" t="s">
        <v>131</v>
      </c>
      <c r="J35" s="17"/>
      <c r="K35" s="17"/>
      <c r="L35" s="17"/>
      <c r="M35" s="3" t="str">
        <f t="shared" si="2"/>
        <v>18</v>
      </c>
      <c r="N35" s="3" t="str">
        <f t="shared" si="3"/>
        <v>gen[24]</v>
      </c>
      <c r="O35" s="18"/>
      <c r="T35" s="16"/>
      <c r="U35" s="16"/>
      <c r="V35" s="16"/>
      <c r="W35" s="16"/>
      <c r="X35" s="16"/>
      <c r="Y35" s="16"/>
    </row>
    <row r="36" spans="2:25" x14ac:dyDescent="0.3">
      <c r="B36" s="9" t="s">
        <v>89</v>
      </c>
      <c r="C36" s="17"/>
      <c r="D36" s="3" t="str">
        <f t="shared" si="1"/>
        <v>19</v>
      </c>
      <c r="E36" s="3" t="s">
        <v>146</v>
      </c>
      <c r="F36" s="3" t="s">
        <v>12</v>
      </c>
      <c r="G36" s="17" t="s">
        <v>33</v>
      </c>
      <c r="H36" s="17"/>
      <c r="I36" s="17" t="s">
        <v>143</v>
      </c>
      <c r="J36" s="17"/>
      <c r="K36" s="17"/>
      <c r="L36" s="17"/>
      <c r="M36" s="3" t="str">
        <f t="shared" si="2"/>
        <v>19</v>
      </c>
      <c r="N36" s="3" t="s">
        <v>119</v>
      </c>
      <c r="O36" s="8" t="s">
        <v>119</v>
      </c>
    </row>
    <row r="37" spans="2:25" x14ac:dyDescent="0.3">
      <c r="B37" s="9" t="s">
        <v>89</v>
      </c>
      <c r="C37" s="17" t="s">
        <v>47</v>
      </c>
      <c r="D37" s="3" t="str">
        <f t="shared" ref="D37:D42" si="4">_xlfn.TEXTJOIN(,TRUE,IF(HEX2DEC(D36)+1 &lt; 16,"0", ""), DEC2HEX(HEX2DEC(D36)+1))</f>
        <v>1A</v>
      </c>
      <c r="E37" s="3" t="s">
        <v>10</v>
      </c>
      <c r="F37" s="3" t="s">
        <v>11</v>
      </c>
      <c r="G37" s="17" t="s">
        <v>33</v>
      </c>
      <c r="H37" s="17"/>
      <c r="I37" s="17" t="s">
        <v>54</v>
      </c>
      <c r="J37" s="17"/>
      <c r="K37" s="17"/>
      <c r="L37" s="17" t="s">
        <v>104</v>
      </c>
      <c r="M37" s="3" t="str">
        <f t="shared" si="2"/>
        <v>1A</v>
      </c>
      <c r="N37" s="3" t="s">
        <v>6</v>
      </c>
      <c r="O37" s="18" t="s">
        <v>110</v>
      </c>
    </row>
    <row r="38" spans="2:25" x14ac:dyDescent="0.3">
      <c r="B38" s="9" t="s">
        <v>89</v>
      </c>
      <c r="C38" s="17"/>
      <c r="D38" s="3" t="str">
        <f t="shared" si="4"/>
        <v>1B</v>
      </c>
      <c r="E38" s="3" t="s">
        <v>141</v>
      </c>
      <c r="F38" s="3" t="s">
        <v>11</v>
      </c>
      <c r="G38" s="17" t="s">
        <v>33</v>
      </c>
      <c r="H38" s="17"/>
      <c r="I38" s="17" t="s">
        <v>142</v>
      </c>
      <c r="J38" s="17"/>
      <c r="K38" s="17"/>
      <c r="L38" s="17"/>
      <c r="M38" s="3" t="str">
        <f t="shared" si="2"/>
        <v>1B</v>
      </c>
      <c r="N38" s="3" t="s">
        <v>19</v>
      </c>
      <c r="O38" s="18"/>
    </row>
    <row r="39" spans="2:25" x14ac:dyDescent="0.3">
      <c r="B39" s="9" t="s">
        <v>89</v>
      </c>
      <c r="C39" s="17"/>
      <c r="D39" s="3" t="str">
        <f t="shared" si="4"/>
        <v>1C</v>
      </c>
      <c r="E39" s="3" t="s">
        <v>9</v>
      </c>
      <c r="F39" s="3" t="s">
        <v>11</v>
      </c>
      <c r="G39" s="3" t="s">
        <v>12</v>
      </c>
      <c r="H39" s="3" t="s">
        <v>92</v>
      </c>
      <c r="I39" s="17" t="s">
        <v>53</v>
      </c>
      <c r="J39" s="17"/>
      <c r="K39" s="17"/>
      <c r="L39" s="17"/>
      <c r="M39" s="3" t="str">
        <f t="shared" si="2"/>
        <v>1C</v>
      </c>
      <c r="N39" s="3" t="s">
        <v>20</v>
      </c>
      <c r="O39" s="18"/>
    </row>
    <row r="40" spans="2:25" x14ac:dyDescent="0.3">
      <c r="B40" s="9" t="s">
        <v>89</v>
      </c>
      <c r="C40" s="5" t="s">
        <v>52</v>
      </c>
      <c r="D40" s="3" t="str">
        <f t="shared" si="4"/>
        <v>1D</v>
      </c>
      <c r="E40" s="3" t="s">
        <v>147</v>
      </c>
      <c r="F40" s="17" t="s">
        <v>92</v>
      </c>
      <c r="G40" s="17"/>
      <c r="H40" s="17"/>
      <c r="I40" s="17" t="s">
        <v>148</v>
      </c>
      <c r="J40" s="17"/>
      <c r="K40" s="17"/>
      <c r="L40" s="5" t="s">
        <v>105</v>
      </c>
      <c r="M40" s="3" t="str">
        <f t="shared" si="2"/>
        <v>1D</v>
      </c>
      <c r="N40" s="3" t="s">
        <v>2</v>
      </c>
      <c r="O40" s="18" t="s">
        <v>167</v>
      </c>
    </row>
    <row r="41" spans="2:25" x14ac:dyDescent="0.3">
      <c r="B41" s="9" t="s">
        <v>89</v>
      </c>
      <c r="C41" s="17" t="s">
        <v>3</v>
      </c>
      <c r="D41" s="3" t="str">
        <f t="shared" si="4"/>
        <v>1E</v>
      </c>
      <c r="E41" s="3" t="s">
        <v>25</v>
      </c>
      <c r="F41" s="3" t="s">
        <v>11</v>
      </c>
      <c r="G41" s="17" t="s">
        <v>92</v>
      </c>
      <c r="H41" s="17"/>
      <c r="I41" s="17" t="s">
        <v>71</v>
      </c>
      <c r="J41" s="17"/>
      <c r="K41" s="17"/>
      <c r="L41" s="5" t="s">
        <v>106</v>
      </c>
      <c r="M41" s="3" t="str">
        <f t="shared" si="2"/>
        <v>1E</v>
      </c>
      <c r="N41" s="3" t="s">
        <v>3</v>
      </c>
      <c r="O41" s="18"/>
      <c r="T41" s="2"/>
    </row>
    <row r="42" spans="2:25" x14ac:dyDescent="0.3">
      <c r="B42" s="9" t="s">
        <v>89</v>
      </c>
      <c r="C42" s="17"/>
      <c r="D42" s="3" t="str">
        <f t="shared" si="4"/>
        <v>1F</v>
      </c>
      <c r="E42" s="3" t="s">
        <v>24</v>
      </c>
      <c r="F42" s="3" t="s">
        <v>12</v>
      </c>
      <c r="G42" s="17" t="s">
        <v>92</v>
      </c>
      <c r="H42" s="17"/>
      <c r="I42" s="17" t="s">
        <v>72</v>
      </c>
      <c r="J42" s="17"/>
      <c r="K42" s="17"/>
      <c r="L42" s="5" t="s">
        <v>106</v>
      </c>
      <c r="M42" s="3" t="str">
        <f t="shared" si="2"/>
        <v>1F</v>
      </c>
      <c r="N42" s="3" t="s">
        <v>5</v>
      </c>
      <c r="O42" s="18"/>
    </row>
    <row r="43" spans="2:25" x14ac:dyDescent="0.3">
      <c r="B43" s="9" t="s">
        <v>89</v>
      </c>
      <c r="C43" s="17" t="s">
        <v>51</v>
      </c>
      <c r="D43" s="3" t="str">
        <f>_xlfn.TEXTJOIN(,FALSE,DEC2HEX(HEX2DEC(D42) + 1),"~",DEC2HEX(HEX2DEC(D42) + 32))</f>
        <v>20~3F</v>
      </c>
      <c r="E43" s="3" t="s">
        <v>79</v>
      </c>
      <c r="F43" s="3" t="s">
        <v>11</v>
      </c>
      <c r="G43" s="17" t="s">
        <v>36</v>
      </c>
      <c r="H43" s="17"/>
      <c r="I43" s="17" t="s">
        <v>73</v>
      </c>
      <c r="J43" s="17"/>
      <c r="K43" s="17"/>
      <c r="L43" s="17" t="s">
        <v>184</v>
      </c>
      <c r="M43" s="4" t="s">
        <v>163</v>
      </c>
      <c r="N43" s="3" t="s">
        <v>166</v>
      </c>
      <c r="O43" s="18" t="s">
        <v>190</v>
      </c>
    </row>
    <row r="44" spans="2:25" x14ac:dyDescent="0.3">
      <c r="B44" s="9" t="s">
        <v>89</v>
      </c>
      <c r="C44" s="17"/>
      <c r="D44" s="3" t="str">
        <f>_xlfn.TEXTJOIN(,FALSE,DEC2HEX(HEX2DEC(RIGHT(D43,LEN(D43)-FIND("~",D43,1))) + 1),"~",DEC2HEX(HEX2DEC(RIGHT(D43,LEN(D43)-FIND("~",D43,1))) + 32))</f>
        <v>40~5F</v>
      </c>
      <c r="E44" s="3" t="s">
        <v>80</v>
      </c>
      <c r="F44" s="3" t="s">
        <v>12</v>
      </c>
      <c r="G44" s="17" t="s">
        <v>36</v>
      </c>
      <c r="H44" s="17"/>
      <c r="I44" s="17" t="s">
        <v>74</v>
      </c>
      <c r="J44" s="17"/>
      <c r="K44" s="17"/>
      <c r="L44" s="17"/>
      <c r="M44" s="3" t="str">
        <f>_xlfn.TEXTJOIN(,FALSE,_xlfn.TEXTBEFORE(M43,"-",-1),"-",TEXT(VALUE(_xlfn.TEXTAFTER(M43,"-", -1))+1,"0"))</f>
        <v>ex-2</v>
      </c>
      <c r="N44" s="3" t="s">
        <v>165</v>
      </c>
      <c r="O44" s="18"/>
    </row>
    <row r="45" spans="2:25" x14ac:dyDescent="0.3">
      <c r="B45" s="9" t="s">
        <v>89</v>
      </c>
      <c r="C45" s="17" t="s">
        <v>52</v>
      </c>
      <c r="D45" s="3" t="str">
        <f>_xlfn.TEXTJOIN(,FALSE,DEC2HEX(HEX2DEC(RIGHT(D44,LEN(D44)-FIND("~",D44,1))) + 1),"~",DEC2HEX(HEX2DEC(RIGHT(D44,LEN(D44)-FIND("~",D44,1))) + 8))</f>
        <v>60~67</v>
      </c>
      <c r="E45" s="3" t="s">
        <v>81</v>
      </c>
      <c r="F45" s="3" t="s">
        <v>4</v>
      </c>
      <c r="G45" s="17" t="s">
        <v>36</v>
      </c>
      <c r="H45" s="17"/>
      <c r="I45" s="17" t="s">
        <v>75</v>
      </c>
      <c r="J45" s="17"/>
      <c r="K45" s="17"/>
      <c r="L45" s="17"/>
      <c r="M45" s="3" t="str">
        <f>_xlfn.TEXTJOIN(,FALSE,_xlfn.TEXTBEFORE(M44,"-",-1),"-",TEXT(VALUE(_xlfn.TEXTAFTER(M44,"-", -1))+1,"0"))</f>
        <v>ex-3</v>
      </c>
      <c r="N45" s="3" t="s">
        <v>164</v>
      </c>
      <c r="O45" s="18"/>
    </row>
    <row r="46" spans="2:25" x14ac:dyDescent="0.3">
      <c r="B46" s="9" t="s">
        <v>89</v>
      </c>
      <c r="C46" s="17"/>
      <c r="D46" s="3" t="str">
        <f>_xlfn.TEXTJOIN(,FALSE,DEC2HEX(HEX2DEC(RIGHT(D45,LEN(D45)-FIND("~",D45,1))) + 1),"~",DEC2HEX(HEX2DEC(RIGHT(D45,LEN(D45)-FIND("~",D45,1))) + 8))</f>
        <v>68~6F</v>
      </c>
      <c r="E46" s="3" t="s">
        <v>139</v>
      </c>
      <c r="F46" s="3" t="s">
        <v>4</v>
      </c>
      <c r="G46" s="17" t="s">
        <v>36</v>
      </c>
      <c r="H46" s="17"/>
      <c r="I46" s="17" t="s">
        <v>75</v>
      </c>
      <c r="J46" s="17"/>
      <c r="K46" s="17"/>
      <c r="L46" s="17"/>
      <c r="M46" s="3" t="str">
        <f>_xlfn.TEXTJOIN(,FALSE,_xlfn.TEXTBEFORE(M45,"-",-1),"-",TEXT(VALUE(_xlfn.TEXTAFTER(M45,"-", -1))+1,"0"))</f>
        <v>ex-4</v>
      </c>
      <c r="N46" s="3" t="s">
        <v>178</v>
      </c>
      <c r="O46" s="18"/>
    </row>
    <row r="47" spans="2:25" x14ac:dyDescent="0.3">
      <c r="B47" s="9" t="s">
        <v>89</v>
      </c>
      <c r="C47" s="17"/>
      <c r="D47" s="4" t="str">
        <f>DEC2HEX(HEX2DEC(RIGHT(D46,LEN(D46)-FIND("~",D46,1))) + 1)</f>
        <v>70</v>
      </c>
      <c r="E47" s="3" t="s">
        <v>48</v>
      </c>
      <c r="F47" s="3" t="s">
        <v>4</v>
      </c>
      <c r="G47" s="17" t="s">
        <v>36</v>
      </c>
      <c r="H47" s="17"/>
      <c r="I47" s="17" t="s">
        <v>76</v>
      </c>
      <c r="J47" s="17"/>
      <c r="K47" s="17"/>
      <c r="L47" s="17"/>
      <c r="M47" s="3" t="str">
        <f>_xlfn.TEXTJOIN(,FALSE,_xlfn.TEXTBEFORE(M46,"-",-1),"-",TEXT(VALUE(_xlfn.TEXTAFTER(M46,"-", -1))+1,"0"))</f>
        <v>ex-5</v>
      </c>
      <c r="N47" s="3" t="s">
        <v>174</v>
      </c>
      <c r="O47" s="18"/>
    </row>
    <row r="48" spans="2:25" x14ac:dyDescent="0.3">
      <c r="B48" s="9" t="s">
        <v>89</v>
      </c>
      <c r="C48" s="17"/>
      <c r="D48" s="3" t="str">
        <f t="shared" ref="D48:D54" si="5">_xlfn.TEXTJOIN(,TRUE,IF(HEX2DEC(D47)+1 &lt; 16,"0", ""), DEC2HEX(HEX2DEC(D47)+1))</f>
        <v>71</v>
      </c>
      <c r="E48" s="3" t="s">
        <v>49</v>
      </c>
      <c r="F48" s="17" t="s">
        <v>92</v>
      </c>
      <c r="G48" s="17"/>
      <c r="H48" s="17"/>
      <c r="I48" s="17" t="s">
        <v>77</v>
      </c>
      <c r="J48" s="17"/>
      <c r="K48" s="17"/>
      <c r="L48" s="17" t="s">
        <v>5</v>
      </c>
      <c r="M48" s="17"/>
      <c r="N48" s="17"/>
      <c r="O48" s="18"/>
    </row>
    <row r="49" spans="2:15" x14ac:dyDescent="0.3">
      <c r="B49" s="9" t="s">
        <v>89</v>
      </c>
      <c r="C49" s="17"/>
      <c r="D49" s="3" t="str">
        <f t="shared" si="5"/>
        <v>72</v>
      </c>
      <c r="E49" s="3" t="s">
        <v>84</v>
      </c>
      <c r="F49" s="17" t="s">
        <v>92</v>
      </c>
      <c r="G49" s="17"/>
      <c r="H49" s="17"/>
      <c r="I49" s="17" t="s">
        <v>85</v>
      </c>
      <c r="J49" s="17"/>
      <c r="K49" s="17"/>
      <c r="L49" s="6" t="s">
        <v>46</v>
      </c>
      <c r="M49" s="3" t="s">
        <v>111</v>
      </c>
      <c r="N49" s="17" t="s">
        <v>91</v>
      </c>
      <c r="O49" s="18"/>
    </row>
    <row r="50" spans="2:15" x14ac:dyDescent="0.3">
      <c r="B50" s="9" t="s">
        <v>89</v>
      </c>
      <c r="C50" s="17"/>
      <c r="D50" s="3" t="str">
        <f t="shared" si="5"/>
        <v>73</v>
      </c>
      <c r="E50" s="3" t="s">
        <v>172</v>
      </c>
      <c r="F50" s="17" t="s">
        <v>92</v>
      </c>
      <c r="G50" s="17"/>
      <c r="H50" s="17"/>
      <c r="I50" s="17" t="s">
        <v>179</v>
      </c>
      <c r="J50" s="17"/>
      <c r="K50" s="17"/>
      <c r="L50" s="5" t="s">
        <v>107</v>
      </c>
      <c r="M50" s="4" t="s">
        <v>26</v>
      </c>
      <c r="N50" s="17" t="s">
        <v>6</v>
      </c>
      <c r="O50" s="18"/>
    </row>
    <row r="51" spans="2:15" x14ac:dyDescent="0.3">
      <c r="B51" s="9" t="s">
        <v>89</v>
      </c>
      <c r="C51" s="17"/>
      <c r="D51" s="3" t="str">
        <f t="shared" si="5"/>
        <v>74</v>
      </c>
      <c r="E51" s="3" t="s">
        <v>171</v>
      </c>
      <c r="F51" s="17" t="s">
        <v>92</v>
      </c>
      <c r="G51" s="17"/>
      <c r="H51" s="17"/>
      <c r="I51" s="17" t="s">
        <v>170</v>
      </c>
      <c r="J51" s="17"/>
      <c r="K51" s="17"/>
      <c r="L51" s="5" t="s">
        <v>107</v>
      </c>
      <c r="M51" s="3" t="str">
        <f t="shared" ref="M51:M59" si="6">_xlfn.TEXTJOIN(,TRUE,IF(HEX2DEC(M50)+1 &lt; 16,"0", ""), DEC2HEX(HEX2DEC(M50)+1))</f>
        <v>01</v>
      </c>
      <c r="N51" s="17" t="s">
        <v>7</v>
      </c>
      <c r="O51" s="18"/>
    </row>
    <row r="52" spans="2:15" x14ac:dyDescent="0.3">
      <c r="B52" s="9" t="s">
        <v>90</v>
      </c>
      <c r="C52" s="17"/>
      <c r="D52" s="3" t="str">
        <f t="shared" si="5"/>
        <v>75</v>
      </c>
      <c r="E52" s="3" t="s">
        <v>37</v>
      </c>
      <c r="F52" s="17" t="s">
        <v>92</v>
      </c>
      <c r="G52" s="17"/>
      <c r="H52" s="17"/>
      <c r="I52" s="17" t="s">
        <v>78</v>
      </c>
      <c r="J52" s="17"/>
      <c r="K52" s="17"/>
      <c r="L52" s="5" t="s">
        <v>107</v>
      </c>
      <c r="M52" s="3" t="str">
        <f t="shared" si="6"/>
        <v>02</v>
      </c>
      <c r="N52" s="17" t="s">
        <v>8</v>
      </c>
      <c r="O52" s="18"/>
    </row>
    <row r="53" spans="2:15" x14ac:dyDescent="0.3">
      <c r="B53" s="9" t="s">
        <v>90</v>
      </c>
      <c r="C53" s="17" t="s">
        <v>50</v>
      </c>
      <c r="D53" s="3" t="str">
        <f t="shared" si="5"/>
        <v>76</v>
      </c>
      <c r="E53" s="3" t="s">
        <v>101</v>
      </c>
      <c r="F53" s="17" t="s">
        <v>92</v>
      </c>
      <c r="G53" s="17"/>
      <c r="H53" s="17"/>
      <c r="I53" s="17" t="s">
        <v>180</v>
      </c>
      <c r="J53" s="17"/>
      <c r="K53" s="17"/>
      <c r="L53" s="5" t="s">
        <v>109</v>
      </c>
      <c r="M53" s="3" t="str">
        <f t="shared" si="6"/>
        <v>03</v>
      </c>
      <c r="N53" s="17" t="s">
        <v>108</v>
      </c>
      <c r="O53" s="18"/>
    </row>
    <row r="54" spans="2:15" x14ac:dyDescent="0.3">
      <c r="B54" s="9" t="s">
        <v>90</v>
      </c>
      <c r="C54" s="17"/>
      <c r="D54" s="3" t="str">
        <f t="shared" si="5"/>
        <v>77</v>
      </c>
      <c r="E54" s="3" t="s">
        <v>87</v>
      </c>
      <c r="F54" s="17" t="s">
        <v>92</v>
      </c>
      <c r="G54" s="17"/>
      <c r="H54" s="17"/>
      <c r="I54" s="17" t="s">
        <v>88</v>
      </c>
      <c r="J54" s="17"/>
      <c r="K54" s="17"/>
      <c r="L54" s="5" t="s">
        <v>107</v>
      </c>
      <c r="M54" s="3" t="str">
        <f t="shared" si="6"/>
        <v>04</v>
      </c>
      <c r="N54" s="17" t="s">
        <v>95</v>
      </c>
      <c r="O54" s="18"/>
    </row>
    <row r="55" spans="2:15" x14ac:dyDescent="0.3">
      <c r="B55" s="9" t="s">
        <v>90</v>
      </c>
      <c r="C55" s="17"/>
      <c r="D55" s="3" t="str">
        <f>_xlfn.TEXTJOIN(,TRUE,IF(HEX2DEC(D54)+1 &lt; 16,"0", ""), DEC2HEX(HEX2DEC(D54)+1))</f>
        <v>78</v>
      </c>
      <c r="E55" s="3" t="s">
        <v>83</v>
      </c>
      <c r="F55" s="3" t="s">
        <v>4</v>
      </c>
      <c r="G55" s="4" t="s">
        <v>156</v>
      </c>
      <c r="H55" s="4" t="s">
        <v>159</v>
      </c>
      <c r="I55" s="17" t="s">
        <v>157</v>
      </c>
      <c r="J55" s="17"/>
      <c r="K55" s="17"/>
      <c r="L55" s="5" t="s">
        <v>107</v>
      </c>
      <c r="M55" s="3" t="str">
        <f t="shared" si="6"/>
        <v>05</v>
      </c>
      <c r="N55" s="17" t="s">
        <v>98</v>
      </c>
      <c r="O55" s="18"/>
    </row>
    <row r="56" spans="2:15" x14ac:dyDescent="0.3">
      <c r="B56" s="9" t="s">
        <v>90</v>
      </c>
      <c r="C56" s="17"/>
      <c r="D56" s="3" t="str">
        <f>_xlfn.TEXTJOIN(,TRUE,IF(HEX2DEC(D55)+1 &lt; 16,"0", ""), DEC2HEX(HEX2DEC(D55)+1))</f>
        <v>79</v>
      </c>
      <c r="E56" s="3" t="s">
        <v>155</v>
      </c>
      <c r="F56" s="3" t="s">
        <v>92</v>
      </c>
      <c r="G56" s="3" t="s">
        <v>160</v>
      </c>
      <c r="H56" s="4" t="s">
        <v>159</v>
      </c>
      <c r="I56" s="17" t="s">
        <v>158</v>
      </c>
      <c r="J56" s="17"/>
      <c r="K56" s="17"/>
      <c r="L56" s="5" t="s">
        <v>110</v>
      </c>
      <c r="M56" s="3" t="str">
        <f t="shared" si="6"/>
        <v>06</v>
      </c>
      <c r="N56" s="17" t="s">
        <v>19</v>
      </c>
      <c r="O56" s="18"/>
    </row>
    <row r="57" spans="2:15" x14ac:dyDescent="0.3">
      <c r="B57" s="9" t="s">
        <v>90</v>
      </c>
      <c r="C57" s="17" t="s">
        <v>47</v>
      </c>
      <c r="D57" s="3" t="str">
        <f>_xlfn.TEXTJOIN(,TRUE,IF(HEX2DEC(D56)+1 &lt; 16,"0", ""), DEC2HEX(HEX2DEC(D56)+1))</f>
        <v>7A</v>
      </c>
      <c r="E57" s="3" t="s">
        <v>162</v>
      </c>
      <c r="F57" s="3" t="s">
        <v>11</v>
      </c>
      <c r="G57" s="3" t="s">
        <v>92</v>
      </c>
      <c r="H57" s="3" t="s">
        <v>200</v>
      </c>
      <c r="I57" s="17" t="s">
        <v>169</v>
      </c>
      <c r="J57" s="17"/>
      <c r="K57" s="17"/>
      <c r="L57" s="5" t="s">
        <v>109</v>
      </c>
      <c r="M57" s="3" t="str">
        <f t="shared" si="6"/>
        <v>07</v>
      </c>
      <c r="N57" s="17" t="s">
        <v>1</v>
      </c>
      <c r="O57" s="18"/>
    </row>
    <row r="58" spans="2:15" x14ac:dyDescent="0.3">
      <c r="B58" s="9" t="s">
        <v>90</v>
      </c>
      <c r="C58" s="17"/>
      <c r="D58" s="3" t="str">
        <f>_xlfn.TEXTJOIN(,TRUE,IF(HEX2DEC(D57)+1 &lt; 16,"0", ""), DEC2HEX(HEX2DEC(D57)+1))</f>
        <v>7B</v>
      </c>
      <c r="E58" s="3" t="s">
        <v>161</v>
      </c>
      <c r="F58" s="3" t="s">
        <v>12</v>
      </c>
      <c r="G58" s="3" t="s">
        <v>92</v>
      </c>
      <c r="H58" s="3" t="s">
        <v>200</v>
      </c>
      <c r="I58" s="17" t="s">
        <v>168</v>
      </c>
      <c r="J58" s="17"/>
      <c r="K58" s="17"/>
      <c r="L58" s="5" t="s">
        <v>107</v>
      </c>
      <c r="M58" s="3" t="str">
        <f t="shared" si="6"/>
        <v>08</v>
      </c>
      <c r="N58" s="17" t="s">
        <v>99</v>
      </c>
      <c r="O58" s="18"/>
    </row>
    <row r="59" spans="2:15" x14ac:dyDescent="0.3">
      <c r="B59" s="9" t="s">
        <v>90</v>
      </c>
      <c r="C59" s="17" t="s">
        <v>38</v>
      </c>
      <c r="D59" s="3" t="str">
        <f t="shared" ref="D59:D62" si="7">_xlfn.TEXTJOIN(,TRUE,IF(HEX2DEC(D58)+1 &lt; 16,"0", ""), DEC2HEX(HEX2DEC(D58)+1))</f>
        <v>7C</v>
      </c>
      <c r="E59" s="3" t="s">
        <v>187</v>
      </c>
      <c r="F59" s="17" t="s">
        <v>92</v>
      </c>
      <c r="G59" s="17"/>
      <c r="H59" s="3" t="s">
        <v>188</v>
      </c>
      <c r="I59" s="17" t="s">
        <v>189</v>
      </c>
      <c r="J59" s="17"/>
      <c r="K59" s="17"/>
      <c r="L59" s="5" t="s">
        <v>107</v>
      </c>
      <c r="M59" s="3" t="str">
        <f t="shared" si="6"/>
        <v>09</v>
      </c>
      <c r="N59" s="17" t="s">
        <v>100</v>
      </c>
      <c r="O59" s="18"/>
    </row>
    <row r="60" spans="2:15" x14ac:dyDescent="0.3">
      <c r="B60" s="9" t="s">
        <v>90</v>
      </c>
      <c r="C60" s="17"/>
      <c r="D60" s="3" t="str">
        <f t="shared" si="7"/>
        <v>7D</v>
      </c>
      <c r="E60" s="3" t="s">
        <v>186</v>
      </c>
      <c r="F60" s="3" t="s">
        <v>181</v>
      </c>
      <c r="G60" s="3" t="s">
        <v>182</v>
      </c>
      <c r="H60" s="3" t="s">
        <v>183</v>
      </c>
      <c r="I60" s="17" t="s">
        <v>185</v>
      </c>
      <c r="J60" s="17"/>
      <c r="K60" s="17"/>
      <c r="L60" s="5" t="s">
        <v>109</v>
      </c>
      <c r="M60" s="3" t="str">
        <f>_xlfn.TEXTJOIN(,FALSE,DEC2HEX(HEX2DEC(M59) + 1),"~",DEC2HEX(HEX2DEC(M59) + 6))</f>
        <v>A~F</v>
      </c>
      <c r="N60" s="17" t="s">
        <v>173</v>
      </c>
      <c r="O60" s="18"/>
    </row>
    <row r="61" spans="2:15" x14ac:dyDescent="0.3">
      <c r="B61" s="9" t="s">
        <v>90</v>
      </c>
      <c r="C61" s="5" t="s">
        <v>82</v>
      </c>
      <c r="D61" s="3" t="str">
        <f t="shared" si="7"/>
        <v>7E</v>
      </c>
      <c r="E61" s="3" t="s">
        <v>82</v>
      </c>
      <c r="F61" s="3" t="s">
        <v>176</v>
      </c>
      <c r="G61" s="15" t="s">
        <v>177</v>
      </c>
      <c r="H61" s="3" t="s">
        <v>175</v>
      </c>
      <c r="I61" s="17" t="s">
        <v>204</v>
      </c>
      <c r="J61" s="17"/>
      <c r="K61" s="17"/>
      <c r="L61" s="5" t="s">
        <v>109</v>
      </c>
      <c r="M61" s="3" t="str">
        <f>_xlfn.TEXTJOIN(,FALSE,DEC2HEX(HEX2DEC(RIGHT(M60,LEN(M60)-FIND("~",M60,1))) + 1),"~",DEC2HEX(HEX2DEC(RIGHT(M60,LEN(M60)-FIND("~",M60,1))) + 16))</f>
        <v>10~1F</v>
      </c>
      <c r="N61" s="17" t="s">
        <v>113</v>
      </c>
      <c r="O61" s="18"/>
    </row>
    <row r="62" spans="2:15" x14ac:dyDescent="0.3">
      <c r="B62" s="9" t="s">
        <v>90</v>
      </c>
      <c r="C62" s="5" t="s">
        <v>205</v>
      </c>
      <c r="D62" s="3" t="str">
        <f t="shared" si="7"/>
        <v>7F</v>
      </c>
      <c r="E62" s="3" t="s">
        <v>205</v>
      </c>
      <c r="F62" s="17" t="s">
        <v>207</v>
      </c>
      <c r="G62" s="17"/>
      <c r="H62" s="3" t="s">
        <v>206</v>
      </c>
      <c r="I62" s="17" t="s">
        <v>208</v>
      </c>
      <c r="J62" s="17"/>
      <c r="K62" s="17"/>
      <c r="L62" s="17" t="s">
        <v>112</v>
      </c>
      <c r="M62" s="17"/>
      <c r="N62" s="17"/>
      <c r="O62" s="18"/>
    </row>
    <row r="63" spans="2:15" x14ac:dyDescent="0.3">
      <c r="B63" s="9" t="s">
        <v>90</v>
      </c>
      <c r="C63" s="5" t="s">
        <v>191</v>
      </c>
      <c r="D63" s="3" t="str">
        <f>_xlfn.TEXTJOIN(,FALSE,DEC2HEX(HEX2DEC(D62) + 1),"~","FF")</f>
        <v>80~FF</v>
      </c>
      <c r="E63" s="3" t="s">
        <v>84</v>
      </c>
      <c r="F63" s="17" t="s">
        <v>92</v>
      </c>
      <c r="G63" s="17"/>
      <c r="H63" s="17"/>
      <c r="I63" s="17" t="s">
        <v>192</v>
      </c>
      <c r="J63" s="17"/>
      <c r="K63" s="17"/>
      <c r="L63" s="5" t="s">
        <v>39</v>
      </c>
      <c r="M63" s="3" t="s">
        <v>91</v>
      </c>
      <c r="N63" s="5" t="s">
        <v>39</v>
      </c>
      <c r="O63" s="10" t="s">
        <v>91</v>
      </c>
    </row>
    <row r="64" spans="2:15" x14ac:dyDescent="0.3">
      <c r="B64" s="37" t="s">
        <v>209</v>
      </c>
      <c r="C64" s="3" t="str">
        <f>_xlfn.TEXTJOIN(,FALSE,_xlfn.TEXTBEFORE(M47,"-",-1),"-",TEXT(VALUE(_xlfn.TEXTAFTER(M47,"-", -1))+1,"0"))</f>
        <v>ex-6</v>
      </c>
      <c r="D64" s="32"/>
      <c r="E64" s="38" t="s">
        <v>210</v>
      </c>
      <c r="F64" s="41"/>
      <c r="G64" s="29"/>
      <c r="H64" s="17" t="s">
        <v>193</v>
      </c>
      <c r="I64" s="17"/>
      <c r="J64" s="17"/>
      <c r="K64" s="17"/>
      <c r="L64" s="4" t="s">
        <v>96</v>
      </c>
      <c r="M64" s="7" t="s">
        <v>27</v>
      </c>
      <c r="N64" s="3" t="str">
        <f>_xlfn.VALUETOTEXT(L67+1)</f>
        <v>4</v>
      </c>
      <c r="O64" s="11" t="s">
        <v>140</v>
      </c>
    </row>
    <row r="65" spans="2:15" x14ac:dyDescent="0.3">
      <c r="B65" s="35"/>
      <c r="C65" s="3" t="str">
        <f>_xlfn.TEXTJOIN(,FALSE,_xlfn.TEXTBEFORE(C64,"-",-1),"-",TEXT(VALUE(_xlfn.TEXTAFTER(C64,"-", -1))+1,"0"))</f>
        <v>ex-7</v>
      </c>
      <c r="D65" s="32"/>
      <c r="E65" s="39"/>
      <c r="F65" s="42"/>
      <c r="G65" s="30"/>
      <c r="H65" s="4" t="s">
        <v>203</v>
      </c>
      <c r="I65" s="3" t="s">
        <v>202</v>
      </c>
      <c r="J65" s="3" t="s">
        <v>194</v>
      </c>
      <c r="K65" s="3" t="s">
        <v>195</v>
      </c>
      <c r="L65" s="3" t="str">
        <f>_xlfn.VALUETOTEXT(L64+1)</f>
        <v>1</v>
      </c>
      <c r="M65" s="4" t="s">
        <v>28</v>
      </c>
      <c r="N65" s="3" t="str">
        <f>_xlfn.VALUETOTEXT(N64+1)</f>
        <v>5</v>
      </c>
      <c r="O65" s="11" t="s">
        <v>97</v>
      </c>
    </row>
    <row r="66" spans="2:15" x14ac:dyDescent="0.3">
      <c r="B66" s="35"/>
      <c r="C66" s="3" t="str">
        <f>_xlfn.TEXTJOIN(,FALSE,_xlfn.TEXTBEFORE(C65,"-",-1),"-",TEXT(VALUE(_xlfn.TEXTAFTER(C65,"-", -1))+1,"0"))</f>
        <v>ex-8</v>
      </c>
      <c r="D66" s="32"/>
      <c r="E66" s="39"/>
      <c r="F66" s="42"/>
      <c r="G66" s="30"/>
      <c r="H66" s="3" t="s">
        <v>199</v>
      </c>
      <c r="I66" s="3" t="s">
        <v>196</v>
      </c>
      <c r="J66" s="3" t="s">
        <v>197</v>
      </c>
      <c r="K66" s="3" t="s">
        <v>198</v>
      </c>
      <c r="L66" s="3" t="str">
        <f>_xlfn.VALUETOTEXT(L65+1)</f>
        <v>2</v>
      </c>
      <c r="M66" s="4" t="s">
        <v>30</v>
      </c>
      <c r="N66" s="3" t="str">
        <f>_xlfn.VALUETOTEXT(N65+1)</f>
        <v>6</v>
      </c>
      <c r="O66" s="11" t="s">
        <v>93</v>
      </c>
    </row>
    <row r="67" spans="2:15" ht="17.25" thickBot="1" x14ac:dyDescent="0.35">
      <c r="B67" s="36"/>
      <c r="C67" s="34" t="str">
        <f>_xlfn.TEXTJOIN(,FALSE,_xlfn.TEXTBEFORE(C66,"-",-1),"-",TEXT(VALUE(_xlfn.TEXTAFTER(C66,"-", -1))+1,"0"))</f>
        <v>ex-9</v>
      </c>
      <c r="D67" s="34"/>
      <c r="E67" s="40"/>
      <c r="F67" s="43"/>
      <c r="G67" s="31"/>
      <c r="H67" s="33" t="s">
        <v>201</v>
      </c>
      <c r="I67" s="33"/>
      <c r="J67" s="33"/>
      <c r="K67" s="33"/>
      <c r="L67" s="12" t="str">
        <f>_xlfn.VALUETOTEXT(L66+1)</f>
        <v>3</v>
      </c>
      <c r="M67" s="13" t="s">
        <v>31</v>
      </c>
      <c r="N67" s="12" t="str">
        <f>_xlfn.VALUETOTEXT(N66+1)</f>
        <v>7</v>
      </c>
      <c r="O67" s="14" t="s">
        <v>94</v>
      </c>
    </row>
  </sheetData>
  <mergeCells count="133">
    <mergeCell ref="B64:B67"/>
    <mergeCell ref="E64:E67"/>
    <mergeCell ref="F64:G67"/>
    <mergeCell ref="L43:L47"/>
    <mergeCell ref="I61:K61"/>
    <mergeCell ref="I62:K62"/>
    <mergeCell ref="F59:G59"/>
    <mergeCell ref="O40:O42"/>
    <mergeCell ref="O43:O47"/>
    <mergeCell ref="F63:H63"/>
    <mergeCell ref="I63:K63"/>
    <mergeCell ref="N55:O55"/>
    <mergeCell ref="N61:O61"/>
    <mergeCell ref="N58:O58"/>
    <mergeCell ref="N59:O59"/>
    <mergeCell ref="N60:O60"/>
    <mergeCell ref="I57:K57"/>
    <mergeCell ref="I59:K59"/>
    <mergeCell ref="I60:K60"/>
    <mergeCell ref="L62:O62"/>
    <mergeCell ref="F54:H54"/>
    <mergeCell ref="I54:K54"/>
    <mergeCell ref="F53:H53"/>
    <mergeCell ref="C53:C56"/>
    <mergeCell ref="C57:C58"/>
    <mergeCell ref="F62:G62"/>
    <mergeCell ref="H64:K64"/>
    <mergeCell ref="H67:K67"/>
    <mergeCell ref="O12:O15"/>
    <mergeCell ref="O32:O35"/>
    <mergeCell ref="O37:O39"/>
    <mergeCell ref="I58:K58"/>
    <mergeCell ref="C41:C42"/>
    <mergeCell ref="G44:H44"/>
    <mergeCell ref="G41:H41"/>
    <mergeCell ref="I44:K44"/>
    <mergeCell ref="I43:K43"/>
    <mergeCell ref="C43:C44"/>
    <mergeCell ref="G38:H38"/>
    <mergeCell ref="L37:L39"/>
    <mergeCell ref="I45:K45"/>
    <mergeCell ref="I47:K47"/>
    <mergeCell ref="I48:K48"/>
    <mergeCell ref="I38:K38"/>
    <mergeCell ref="C59:C60"/>
    <mergeCell ref="N51:O51"/>
    <mergeCell ref="N52:O52"/>
    <mergeCell ref="N53:O53"/>
    <mergeCell ref="N54:O54"/>
    <mergeCell ref="B6:O8"/>
    <mergeCell ref="I23:K23"/>
    <mergeCell ref="G26:H26"/>
    <mergeCell ref="I26:K26"/>
    <mergeCell ref="I33:K33"/>
    <mergeCell ref="I34:K34"/>
    <mergeCell ref="G24:H24"/>
    <mergeCell ref="G32:H32"/>
    <mergeCell ref="I25:K25"/>
    <mergeCell ref="G13:H13"/>
    <mergeCell ref="G16:H16"/>
    <mergeCell ref="G29:H29"/>
    <mergeCell ref="I24:K24"/>
    <mergeCell ref="L9:O9"/>
    <mergeCell ref="O16:O23"/>
    <mergeCell ref="O24:O31"/>
    <mergeCell ref="L11:L36"/>
    <mergeCell ref="C37:C39"/>
    <mergeCell ref="C11:C36"/>
    <mergeCell ref="I51:K51"/>
    <mergeCell ref="I50:K50"/>
    <mergeCell ref="I10:K10"/>
    <mergeCell ref="I11:K11"/>
    <mergeCell ref="I28:K28"/>
    <mergeCell ref="I32:K32"/>
    <mergeCell ref="I41:K41"/>
    <mergeCell ref="I42:K42"/>
    <mergeCell ref="I22:K22"/>
    <mergeCell ref="F40:H40"/>
    <mergeCell ref="I40:K40"/>
    <mergeCell ref="G43:H43"/>
    <mergeCell ref="G42:H42"/>
    <mergeCell ref="I37:K37"/>
    <mergeCell ref="G37:H37"/>
    <mergeCell ref="G45:H45"/>
    <mergeCell ref="F49:H49"/>
    <mergeCell ref="U15:AB15"/>
    <mergeCell ref="I55:K55"/>
    <mergeCell ref="B9:K9"/>
    <mergeCell ref="I12:K12"/>
    <mergeCell ref="I30:K30"/>
    <mergeCell ref="I19:K19"/>
    <mergeCell ref="I20:K20"/>
    <mergeCell ref="I21:K21"/>
    <mergeCell ref="I29:K29"/>
    <mergeCell ref="I27:K27"/>
    <mergeCell ref="I16:K16"/>
    <mergeCell ref="I15:K15"/>
    <mergeCell ref="I14:K14"/>
    <mergeCell ref="I13:K13"/>
    <mergeCell ref="G18:H18"/>
    <mergeCell ref="G20:H20"/>
    <mergeCell ref="I53:K53"/>
    <mergeCell ref="T35:V35"/>
    <mergeCell ref="W35:Y35"/>
    <mergeCell ref="N49:O49"/>
    <mergeCell ref="N50:O50"/>
    <mergeCell ref="C45:C52"/>
    <mergeCell ref="G46:H46"/>
    <mergeCell ref="I46:K46"/>
    <mergeCell ref="AF15:AG15"/>
    <mergeCell ref="L48:O48"/>
    <mergeCell ref="AC15:AD15"/>
    <mergeCell ref="N56:O56"/>
    <mergeCell ref="N57:O57"/>
    <mergeCell ref="G22:H22"/>
    <mergeCell ref="I31:K31"/>
    <mergeCell ref="I56:K56"/>
    <mergeCell ref="I49:K49"/>
    <mergeCell ref="T34:V34"/>
    <mergeCell ref="W34:Y34"/>
    <mergeCell ref="G47:H47"/>
    <mergeCell ref="I39:K39"/>
    <mergeCell ref="I18:K18"/>
    <mergeCell ref="I17:K17"/>
    <mergeCell ref="F48:H48"/>
    <mergeCell ref="I35:K35"/>
    <mergeCell ref="I36:K36"/>
    <mergeCell ref="G34:H34"/>
    <mergeCell ref="G36:H36"/>
    <mergeCell ref="F51:H51"/>
    <mergeCell ref="F50:H50"/>
    <mergeCell ref="F52:H52"/>
    <mergeCell ref="I52:K52"/>
  </mergeCells>
  <phoneticPr fontId="1" type="noConversion"/>
  <pageMargins left="0" right="0" top="0" bottom="0" header="0" footer="0"/>
  <pageSetup paperSize="9" scale="31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 Ho Kim</dc:creator>
  <cp:lastModifiedBy>Tae Ho Kim</cp:lastModifiedBy>
  <cp:lastPrinted>2026-09-23T14:03:06Z</cp:lastPrinted>
  <dcterms:created xsi:type="dcterms:W3CDTF">2025-01-07T14:01:40Z</dcterms:created>
  <dcterms:modified xsi:type="dcterms:W3CDTF">2026-09-25T01:32:54Z</dcterms:modified>
</cp:coreProperties>
</file>